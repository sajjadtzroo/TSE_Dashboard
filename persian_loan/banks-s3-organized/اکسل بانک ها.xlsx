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_bank\"/>
    </mc:Choice>
  </mc:AlternateContent>
  <xr:revisionPtr revIDLastSave="0" documentId="13_ncr:1_{844F24CD-5C1D-4295-B08B-A2ED48305AAF}" xr6:coauthVersionLast="47" xr6:coauthVersionMax="47" xr10:uidLastSave="{00000000-0000-0000-0000-000000000000}"/>
  <bookViews>
    <workbookView xWindow="-120" yWindow="-120" windowWidth="29040" windowHeight="15720" activeTab="4" xr2:uid="{29877F33-3E53-4D91-8C7E-410309A26463}"/>
  </bookViews>
  <sheets>
    <sheet name="QBank" sheetId="1" r:id="rId1"/>
    <sheet name="HiBank" sheetId="3" r:id="rId2"/>
    <sheet name="Sepino" sheetId="2" r:id="rId3"/>
    <sheet name="OmidBank" sheetId="4" r:id="rId4"/>
    <sheet name="خرید وام" sheetId="5" r:id="rId5"/>
    <sheet name="Calculato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6" l="1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B13" i="6" s="1"/>
  <c r="B14" i="6" s="1"/>
  <c r="D8" i="6"/>
  <c r="D7" i="6"/>
  <c r="D6" i="6"/>
  <c r="D5" i="6"/>
  <c r="D4" i="6"/>
  <c r="D3" i="6"/>
  <c r="B12" i="6"/>
  <c r="B11" i="6"/>
  <c r="B10" i="6"/>
</calcChain>
</file>

<file path=xl/sharedStrings.xml><?xml version="1.0" encoding="utf-8"?>
<sst xmlns="http://schemas.openxmlformats.org/spreadsheetml/2006/main" count="203" uniqueCount="157">
  <si>
    <t>مدت خواب پول (میانگین حساب)</t>
  </si>
  <si>
    <t>درصد وام (نسبت به پول شما)</t>
  </si>
  <si>
    <t>مبلغ وام (مثال: با ۱۰۰ میلیون پول)</t>
  </si>
  <si>
    <t>توضیحات</t>
  </si>
  <si>
    <t>۳ ماه</t>
  </si>
  <si>
    <t>۴۵٪ تا ۵۰٪</t>
  </si>
  <si>
    <t>حدود ۵۰ میلیون</t>
  </si>
  <si>
    <t>سریع‌ترین حالت</t>
  </si>
  <si>
    <t>۴ ماه</t>
  </si>
  <si>
    <t>۶۵٪ تا ۷۰٪</t>
  </si>
  <si>
    <t>حدود ۷۰ میلیون</t>
  </si>
  <si>
    <t>حالت متوسط</t>
  </si>
  <si>
    <t>۵ ماه</t>
  </si>
  <si>
    <t>۸۵٪ تا ۹۰٪</t>
  </si>
  <si>
    <t>حدود ۹۰ میلیون</t>
  </si>
  <si>
    <t>نزدیک به برابر</t>
  </si>
  <si>
    <t>۶ ماه</t>
  </si>
  <si>
    <t>۱۱۰٪ تا ۱۲۰٪</t>
  </si>
  <si>
    <t>حدود ۱۱۰ تا ۱۲۰ میلیون</t>
  </si>
  <si>
    <t>بهترین حالت (بیشتر از پولتان)</t>
  </si>
  <si>
    <t>۷ ماه</t>
  </si>
  <si>
    <t>حدود ۱۳۰ میلیون</t>
  </si>
  <si>
    <t>۸ ماه</t>
  </si>
  <si>
    <t>حدود ۱۵۰ میلیون</t>
  </si>
  <si>
    <t>۱.۵ برابر پولتان</t>
  </si>
  <si>
    <t>۹ ماه</t>
  </si>
  <si>
    <t>حدود ۱۷۰ میلیون</t>
  </si>
  <si>
    <t>۱۰ ماه</t>
  </si>
  <si>
    <t>حدود ۱۹۰ میلیون</t>
  </si>
  <si>
    <t>حدود ۲ برابر</t>
  </si>
  <si>
    <t>۱۱ ماه به بالا</t>
  </si>
  <si>
    <t>۲۰۰٪ تا ۲۲۰٪</t>
  </si>
  <si>
    <t>حدود ۲۰۰ تا ۲۲۰ میلیون</t>
  </si>
  <si>
    <t>بیشترین سقف</t>
  </si>
  <si>
    <t>وام با احتساب سپرده‌گذاری در بانک</t>
  </si>
  <si>
    <t>وام فوری و آنلاین</t>
  </si>
  <si>
    <t>مبلغ وام</t>
  </si>
  <si>
    <t>مدت بازپرداخت</t>
  </si>
  <si>
    <t>مبلغ قسط ماهیانه (تقریبی)</t>
  </si>
  <si>
    <t>شرایط لازم</t>
  </si>
  <si>
    <t>۵۰ میلیون تومان</t>
  </si>
  <si>
    <t>۱۸ ماهه</t>
  </si>
  <si>
    <t>۲,۹۸۰,۰۰۰ تومان</t>
  </si>
  <si>
    <t>رتبه اعتباری A، B یا C / بدون ضامن</t>
  </si>
  <si>
    <t>۲۴ ماهه</t>
  </si>
  <si>
    <t>۲,۲۸۰,۰۰۰ تومان</t>
  </si>
  <si>
    <t>رتبه اعتباری A یا B / بدون ضامن</t>
  </si>
  <si>
    <t>۱۰۰ میلیون تومان</t>
  </si>
  <si>
    <t>۵,۹۵۰,۰۰۰ تومان</t>
  </si>
  <si>
    <t>رتبه اعتباری A (ممکن است برای برخی مشاغل نیاز به نامه کسر از حقوق باشد)</t>
  </si>
  <si>
    <t>۴,۵۵۰,۰۰۰ تومان</t>
  </si>
  <si>
    <t>فقط برای دارندگان رتبه اعتباری A و حقوق‌بگیران بانک</t>
  </si>
  <si>
    <t>loan Amount in %</t>
  </si>
  <si>
    <t>مدت زمان سپرده‌گذاری</t>
  </si>
  <si>
    <t>مدت زمان بازپرداخت</t>
  </si>
  <si>
    <t>مدت سپرده‌گذاری</t>
  </si>
  <si>
    <t>نسبت وام به پول شما</t>
  </si>
  <si>
    <t>۱۲ ماه</t>
  </si>
  <si>
    <t>بازپرداخت</t>
  </si>
  <si>
    <t>مبلغ وام (مثال با ۵۰ میلیون پول)</t>
  </si>
  <si>
    <t>قسط ماهانه (تقریبی)</t>
  </si>
  <si>
    <t>۱۲ ماهه</t>
  </si>
  <si>
    <t>۲۲.۵ میلیون</t>
  </si>
  <si>
    <t>۱,۹۸۰,۰۰۰ تومان</t>
  </si>
  <si>
    <t>۳۰ میلیون</t>
  </si>
  <si>
    <t>۲,۶۰۰,۰۰۰ تومان</t>
  </si>
  <si>
    <t>۴۲.۵ میلیون</t>
  </si>
  <si>
    <t>۲,۴۵۰,۰۰۰ تومان</t>
  </si>
  <si>
    <t>۵۰ میلیون</t>
  </si>
  <si>
    <t>۲,۱۸۰,۰۰۰ تومان</t>
  </si>
  <si>
    <t>۳۶ ماهه</t>
  </si>
  <si>
    <t>۱,۴۸۰,۰۰۰ تومان</t>
  </si>
  <si>
    <t>طرح نیک آفرین</t>
  </si>
  <si>
    <t>مبلغ هر قسط ماهیانه</t>
  </si>
  <si>
    <t>کل سودی که به بانک می‌دهید</t>
  </si>
  <si>
    <t>جمع کل بازپرداخت</t>
  </si>
  <si>
    <t>۱۸,۸۰۰,۰۰۰ تومان</t>
  </si>
  <si>
    <t>۲۵ میلیون تومان</t>
  </si>
  <si>
    <t>۲۲۵ میلیون</t>
  </si>
  <si>
    <t>۱۰,۵۰۰,۰۰۰ تومان</t>
  </si>
  <si>
    <t>۵۲ میلیون تومان</t>
  </si>
  <si>
    <t>۲۵۲ میلیون</t>
  </si>
  <si>
    <t>۷,۷۵۰,۰۰۰ تومان</t>
  </si>
  <si>
    <t>۷۹ میلیون تومان</t>
  </si>
  <si>
    <t>۲۷۹ میلیون</t>
  </si>
  <si>
    <t xml:space="preserve">حداقل مدت سپرده گذاری </t>
  </si>
  <si>
    <t>طرح امید‌آفرین</t>
  </si>
  <si>
    <t>۲ برابر میانگین حساب و نیازمند ضامن رسمی</t>
  </si>
  <si>
    <t>کارمزد ۴٪ برای رتبه اعتباری A به بالا بدون نیاز به ضامن</t>
  </si>
  <si>
    <t>مدت زمان سپرده گذاری</t>
  </si>
  <si>
    <t>کارمزد</t>
  </si>
  <si>
    <t>مبلغ سپرده گذاری</t>
  </si>
  <si>
    <t>سپرده نگین امید زرین</t>
  </si>
  <si>
    <t>طرح نصر</t>
  </si>
  <si>
    <t>نوع حساب</t>
  </si>
  <si>
    <t>سپرده قرض‌الحسنه اشخاص حقیقی</t>
  </si>
  <si>
    <t>تا سقف ۵۰۰ میلیون تومان</t>
  </si>
  <si>
    <t>تعداد اقساط</t>
  </si>
  <si>
    <t>حداکثر ۶۰ ماه</t>
  </si>
  <si>
    <t>نرخ کارمزد</t>
  </si>
  <si>
    <t>۲ الی ۴ درصد</t>
  </si>
  <si>
    <t>وثایق و تضامین</t>
  </si>
  <si>
    <t>در چارچوب ضوابط اعتباری بانک</t>
  </si>
  <si>
    <t>نوع عقد</t>
  </si>
  <si>
    <t>عقد قرض الحسنه</t>
  </si>
  <si>
    <t>طرح نیلوفر</t>
  </si>
  <si>
    <t>سپرده قرض‌الحسنه پس انداز اشخاص حقیقی</t>
  </si>
  <si>
    <t>حداکثر ۱۵۰ میلیون تومان</t>
  </si>
  <si>
    <t>میزان مشارکت مشتری</t>
  </si>
  <si>
    <t>۲۵ تا ۸۰ میلیون تومان</t>
  </si>
  <si>
    <t>میزان وام دریافتی</t>
  </si>
  <si>
    <t> تا ۱۵۰ میلیون تومان</t>
  </si>
  <si>
    <t>۲۰ تا ۳۰ ماه</t>
  </si>
  <si>
    <t>زمان انتظار</t>
  </si>
  <si>
    <t>حداکثر ۱۵ روز</t>
  </si>
  <si>
    <t>از محل وجوه سپرده بانکداری اجتماعی: صفر درصد</t>
  </si>
  <si>
    <t>از محل منابع بانک: معادل ۴ درصد مانده بدهی به ازای هر سال</t>
  </si>
  <si>
    <t>دریافت مبلغ صلح شده</t>
  </si>
  <si>
    <t>پس از پایان اقساط </t>
  </si>
  <si>
    <t>نرخ سود</t>
  </si>
  <si>
    <t>باشگاه مشتریان</t>
  </si>
  <si>
    <t>مبلغ</t>
  </si>
  <si>
    <t>۵ الی ۲۰ میلیون</t>
  </si>
  <si>
    <t>نیازمندی</t>
  </si>
  <si>
    <t>چک برگشتی تسهیلات معوق</t>
  </si>
  <si>
    <t>۱۸ و ۲۳ درصد</t>
  </si>
  <si>
    <t>۱ تا ۶ ماه</t>
  </si>
  <si>
    <t>۴ الی ۱۲ ماهه</t>
  </si>
  <si>
    <t>۳۰ تا ۵۰ میلیون تومان</t>
  </si>
  <si>
    <t>رتبه اعتباری چک برگشتی و تسهیلات معوق</t>
  </si>
  <si>
    <t>۱۴ و ۱۸ درصد</t>
  </si>
  <si>
    <t>۱۲ الی ۱۸ ماهه</t>
  </si>
  <si>
    <t>۷۵ و ۱۰۰ میلیون</t>
  </si>
  <si>
    <t>امکان انتقال امتیاز کسب شده به بستگان درجه یک بدون سقف مبلغی و به سایرین تا سقف 1 میلیارد تومان در هر سال میسر می باشد. ضمناً امتیاز انتقالی، قابل انتقال به شخص ثالث نمی‌باشد ولی امکان عودت امتیاز به نفر اصلی از طریق مراجعه به شعب و ثبت تیکت میسر می باشد.</t>
  </si>
  <si>
    <t>امید</t>
  </si>
  <si>
    <t>نگین</t>
  </si>
  <si>
    <t>Loan Name</t>
  </si>
  <si>
    <t>Bank Name</t>
  </si>
  <si>
    <t>Amount Received</t>
  </si>
  <si>
    <t>Duration</t>
  </si>
  <si>
    <t>Total Repaid</t>
  </si>
  <si>
    <t>Monthly Payment</t>
  </si>
  <si>
    <t>IRR (Annual)</t>
  </si>
  <si>
    <t>LOAN CALCULATOR</t>
  </si>
  <si>
    <t>INPUTS</t>
  </si>
  <si>
    <t>Duration (months)</t>
  </si>
  <si>
    <t>Inflation Rate (optional)</t>
  </si>
  <si>
    <t>OUTPUTS</t>
  </si>
  <si>
    <t>Total Interest %</t>
  </si>
  <si>
    <t>Annual Interest %</t>
  </si>
  <si>
    <t>Real IRR</t>
  </si>
  <si>
    <t>Cash Flows</t>
  </si>
  <si>
    <t>Month 0</t>
  </si>
  <si>
    <t>مهربانی</t>
  </si>
  <si>
    <t>ملی</t>
  </si>
  <si>
    <t>سامان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</si>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</sst>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-3000401]0.00%"/>
    <numFmt numFmtId="165" formatCode="[$-3000401]0"/>
    <numFmt numFmtId="166" formatCode="_(&quot;$&quot;* #,##0_);_(&quot;$&quot;* \(#,##0\);_(&quot;$&quot;* &quot;-&quot;??_);_(@_)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999999"/>
      <name val="Aptos Narrow"/>
      <family val="2"/>
      <scheme val="minor"/>
    </font>
    <font>
      <b/>
      <sz val="11"/>
      <color rgb="FF99999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0E6F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6" fontId="0" fillId="0" borderId="0" xfId="2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0" xfId="3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0" fontId="8" fillId="3" borderId="0" xfId="0" applyFont="1" applyFill="1"/>
    <xf numFmtId="0" fontId="0" fillId="3" borderId="0" xfId="0" applyFill="1"/>
    <xf numFmtId="0" fontId="7" fillId="4" borderId="0" xfId="0" applyFont="1" applyFill="1"/>
    <xf numFmtId="0" fontId="0" fillId="4" borderId="0" xfId="0" applyFill="1"/>
    <xf numFmtId="0" fontId="9" fillId="2" borderId="0" xfId="0" applyFont="1" applyFill="1"/>
    <xf numFmtId="0" fontId="10" fillId="0" borderId="0" xfId="0" applyFont="1"/>
    <xf numFmtId="0" fontId="11" fillId="0" borderId="0" xfId="0" applyFont="1"/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5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numFmt numFmtId="166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[$-3000401]0"/>
      <alignment horizontal="center" vertical="center" textRotation="0" wrapText="0" indent="0" justifyLastLine="0" shrinkToFit="0" readingOrder="0"/>
    </dxf>
    <dxf>
      <numFmt numFmtId="165" formatCode="[$-3000401]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-3000401]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-3000401]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53D30E-EF42-45DE-AD44-54879388A5AC}" name="Table3" displayName="Table3" ref="A16:D20" totalsRowShown="0" headerRowDxfId="52" dataDxfId="51">
  <autoFilter ref="A16:D20" xr:uid="{F353D30E-EF42-45DE-AD44-54879388A5AC}"/>
  <tableColumns count="4">
    <tableColumn id="1" xr3:uid="{EBE4DCE3-BF8D-4630-871D-A5DE2D6E8A4C}" name="مبلغ وام" dataDxfId="50"/>
    <tableColumn id="2" xr3:uid="{2EFFBEF9-E681-4D05-BFA6-669D8B03B8A7}" name="مدت بازپرداخت" dataDxfId="49"/>
    <tableColumn id="3" xr3:uid="{AE6565AB-1D6B-427E-BDB9-CDE8AC22CB42}" name="مبلغ قسط ماهیانه (تقریبی)" dataDxfId="48"/>
    <tableColumn id="4" xr3:uid="{1E078A7C-6D51-4296-A9B4-764266F716C1}" name="شرایط لازم" dataDxfId="47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921D9D-BB30-401A-A23A-7063FB25E79A}" name="Table4" displayName="Table4" ref="A2:D11" totalsRowShown="0" headerRowDxfId="46" dataDxfId="45">
  <autoFilter ref="A2:D11" xr:uid="{4E921D9D-BB30-401A-A23A-7063FB25E79A}"/>
  <tableColumns count="4">
    <tableColumn id="1" xr3:uid="{30889BA0-9EF7-42A7-9ADF-6AEDD7F07A02}" name="مدت خواب پول (میانگین حساب)" dataDxfId="44"/>
    <tableColumn id="2" xr3:uid="{E5175D72-8031-4827-8273-E88812B8F1B3}" name="درصد وام (نسبت به پول شما)" dataDxfId="43"/>
    <tableColumn id="3" xr3:uid="{7F11BADC-99C1-43F0-BE5A-4549D010BCCF}" name="مبلغ وام (مثال: با ۱۰۰ میلیون پول)" dataDxfId="42"/>
    <tableColumn id="4" xr3:uid="{60E85DB4-EAEA-4D77-81F9-E9CA994B3E32}" name="توضیحات" dataDxfId="41"/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8DC1A4-8645-4307-B491-EA59320B81B3}" name="Table2" displayName="Table2" ref="G2:H7" totalsRowShown="0" headerRowDxfId="40" dataDxfId="39">
  <autoFilter ref="G2:H7" xr:uid="{298DC1A4-8645-4307-B491-EA59320B81B3}"/>
  <tableColumns count="2">
    <tableColumn id="1" xr3:uid="{4AF12108-252F-4F14-A775-2054A6B59A38}" name="نوع حساب" dataDxfId="38"/>
    <tableColumn id="2" xr3:uid="{E101AE17-055C-4BC0-BA30-12D03B16FBFB}" name="سپرده قرض‌الحسنه اشخاص حقیقی" dataDxfId="37"/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F4EB67-50EB-48EC-87A1-BE89D45F93BF}" name="Table7" displayName="Table7" ref="B24:C34" totalsRowShown="0" headerRowDxfId="36" dataDxfId="35">
  <autoFilter ref="B24:C34" xr:uid="{02F4EB67-50EB-48EC-87A1-BE89D45F93BF}"/>
  <tableColumns count="2">
    <tableColumn id="1" xr3:uid="{841FFDD9-D0EC-46CB-A55E-0D5755E44B20}" name="نوع حساب" dataDxfId="34"/>
    <tableColumn id="2" xr3:uid="{CA8F36C6-4353-42DD-827B-FB11B9593A62}" name="سپرده قرض‌الحسنه پس انداز اشخاص حقیقی" dataDxfId="33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DC94AA-E16B-4804-9460-19FE8CB53245}" name="Table5" displayName="Table5" ref="A2:F7" totalsRowShown="0" headerRowDxfId="32" dataDxfId="31">
  <autoFilter ref="A2:F7" xr:uid="{55DC94AA-E16B-4804-9460-19FE8CB53245}"/>
  <tableColumns count="6">
    <tableColumn id="1" xr3:uid="{A6B09E61-BA2A-4798-89E4-DDE9E12D7067}" name="مدت سپرده‌گذاری" dataDxfId="30"/>
    <tableColumn id="2" xr3:uid="{19139CF5-3E2D-4579-B5B6-D93094ADB1B8}" name="بازپرداخت" dataDxfId="29"/>
    <tableColumn id="3" xr3:uid="{5B5B8584-B8D3-43D0-AD02-EF33BFFB6060}" name="نسبت وام به پول شما" dataDxfId="28"/>
    <tableColumn id="4" xr3:uid="{439633F6-8B6F-4D1D-A60C-7D3BFC71A27C}" name="مبلغ وام (مثال با ۵۰ میلیون پول)" dataDxfId="27"/>
    <tableColumn id="5" xr3:uid="{58092884-4438-469B-8465-1F0E5BA42D37}" name="قسط ماهانه (تقریبی)" dataDxfId="26"/>
    <tableColumn id="6" xr3:uid="{03CB97D0-27A5-43D6-8BBD-4C063A1E2F45}" name="توضیحات" dataDxfId="25"/>
  </tableColumns>
  <tableStyleInfo name="TableStyleMedium2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0E48A29-573D-4F6A-B18A-CB42211BE79F}" name="Table6" displayName="Table6" ref="A13:F16" totalsRowShown="0" headerRowDxfId="24" dataDxfId="23">
  <autoFilter ref="A13:F16" xr:uid="{20E48A29-573D-4F6A-B18A-CB42211BE79F}"/>
  <tableColumns count="6">
    <tableColumn id="1" xr3:uid="{8B0081F6-6FA0-4D5F-A0E7-A5F540076C27}" name="حداقل مدت سپرده گذاری " dataDxfId="22"/>
    <tableColumn id="2" xr3:uid="{540A2F7A-7C5A-43A5-9B51-413F58331DC0}" name="مدت بازپرداخت" dataDxfId="21"/>
    <tableColumn id="3" xr3:uid="{722CC5D1-2D2B-4449-9731-0A6AB5AD512D}" name="مبلغ هر قسط ماهیانه" dataDxfId="20"/>
    <tableColumn id="4" xr3:uid="{6E9E5273-9B2D-4AD8-AA13-10D82A9C4490}" name="کل سودی که به بانک می‌دهید" dataDxfId="19"/>
    <tableColumn id="5" xr3:uid="{5ECCF72A-2A0A-4FD6-9537-1FD6E5C9FCA6}" name="جمع کل بازپرداخت" dataDxfId="18"/>
    <tableColumn id="6" xr3:uid="{A6B0FFF6-0255-48F0-BDEC-D3A5C724C36B}" name="توضیحات" dataDxfId="17"/>
  </tableColumns>
  <tableStyleInfo name="TableStyleMedium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3E2DEA7-CC90-4685-B37B-649E693E9E43}" name="Table8" displayName="Table8" ref="A21:D24" totalsRowShown="0" headerRowDxfId="16" dataDxfId="15">
  <autoFilter ref="A21:D24" xr:uid="{13E2DEA7-CC90-4685-B37B-649E693E9E43}"/>
  <tableColumns count="4">
    <tableColumn id="1" xr3:uid="{65213D72-A3E5-45E5-A6EC-01C51E7942BE}" name="نرخ سود"/>
    <tableColumn id="2" xr3:uid="{BD99934C-3B9A-4F80-9F33-E2AA1D268F25}" name="بازپرداخت" dataDxfId="14"/>
    <tableColumn id="3" xr3:uid="{9C9CF52A-85DB-40F5-A192-BE2518E354ED}" name="مبلغ" dataDxfId="13"/>
    <tableColumn id="4" xr3:uid="{B96E004F-FE6D-48FC-A06E-AFE48F14A5B3}" name="نیازمندی" dataDxfId="12"/>
  </tableColumns>
  <tableStyleInfo name="TableStyleMedium2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0416DA-D424-46BE-BD67-B862C82A3FE0}" name="Table1" displayName="Table1" ref="A1:C15" totalsRowShown="0" headerRowDxfId="11" dataDxfId="10">
  <autoFilter ref="A1:C15" xr:uid="{2E0416DA-D424-46BE-BD67-B862C82A3FE0}"/>
  <tableColumns count="3">
    <tableColumn id="1" xr3:uid="{EC0667F1-1D3D-4155-AA5A-27E10EC0D748}" name="loan Amount in %" dataDxfId="9" dataCellStyle="Percent"/>
    <tableColumn id="2" xr3:uid="{A6B66407-053A-4ED6-B4F9-94D71CE012A6}" name="مدت زمان سپرده‌گذاری" dataDxfId="8"/>
    <tableColumn id="3" xr3:uid="{75ADA7B8-7316-49DA-8BEB-7E32C7E2F7A5}" name="مدت زمان بازپرداخت" dataDxfId="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0977B3C-20A0-4961-8451-B69AE7B6542E}" name="Table9" displayName="Table9" ref="A1:E5" totalsRowShown="0" headerRowDxfId="1" dataDxfId="0">
  <autoFilter ref="A1:E5" xr:uid="{20977B3C-20A0-4961-8451-B69AE7B6542E}"/>
  <tableColumns count="5">
    <tableColumn id="1" xr3:uid="{395D4DEE-DBB9-4FCA-9DE0-722ED6F88335}" name="Bank Name" dataDxfId="6"/>
    <tableColumn id="2" xr3:uid="{9ACF8F89-6C43-4ABB-922C-F3ED739D74C7}" name="Loan Name" dataDxfId="5"/>
    <tableColumn id="4" xr3:uid="{CE3F3610-E284-420B-A4C6-0617488C476D}" name="Amount Received" dataDxfId="4" dataCellStyle="Currency"/>
    <tableColumn id="8" xr3:uid="{48F3DEB0-E5C2-4317-8CB0-B4A2D1281B3F}" name="Total Repaid" dataDxfId="3">
      <calculatedColumnFormula>#REF!+(#REF!*#REF!)</calculatedColumnFormula>
    </tableColumn>
    <tableColumn id="5" xr3:uid="{8E366968-C5A6-468F-970B-E178833D6CE2}" name="Dura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64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168BE5-0944-44B8-B563-692908AF5C87}">
  <we:reference id="wa200009404" version="1.0.0.4" store="en-US" storeType="OMEX"/>
  <we:alternateReferences>
    <we:reference id="WA200009404" version="1.0.0.4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omidbank.ie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5EE5E-8769-46F6-872A-EA5692F3EED9}">
  <dimension ref="A1:H34"/>
  <sheetViews>
    <sheetView workbookViewId="0">
      <selection activeCell="D33" sqref="D33"/>
    </sheetView>
  </sheetViews>
  <sheetFormatPr defaultColWidth="9.125" defaultRowHeight="14.25"/>
  <cols>
    <col min="1" max="1" width="29.25" style="1" bestFit="1" customWidth="1"/>
    <col min="2" max="2" width="27.125" style="1" bestFit="1" customWidth="1"/>
    <col min="3" max="3" width="46.75" style="1" bestFit="1" customWidth="1"/>
    <col min="4" max="4" width="58.75" style="1" bestFit="1" customWidth="1"/>
    <col min="5" max="6" width="9.125" style="1"/>
    <col min="7" max="7" width="13.25" style="1" bestFit="1" customWidth="1"/>
    <col min="8" max="8" width="31" style="1" bestFit="1" customWidth="1"/>
    <col min="9" max="16384" width="9.125" style="1"/>
  </cols>
  <sheetData>
    <row r="1" spans="1:8" ht="25.5">
      <c r="A1" s="7" t="s">
        <v>34</v>
      </c>
      <c r="B1" s="7"/>
      <c r="C1" s="7"/>
      <c r="D1" s="7"/>
      <c r="G1" s="7" t="s">
        <v>105</v>
      </c>
      <c r="H1" s="7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G2" s="1" t="s">
        <v>94</v>
      </c>
      <c r="H2" s="1" t="s">
        <v>95</v>
      </c>
    </row>
    <row r="3" spans="1:8">
      <c r="A3" s="1" t="s">
        <v>4</v>
      </c>
      <c r="B3" s="1" t="s">
        <v>5</v>
      </c>
      <c r="C3" s="1" t="s">
        <v>6</v>
      </c>
      <c r="D3" s="1" t="s">
        <v>7</v>
      </c>
      <c r="G3" s="1" t="s">
        <v>36</v>
      </c>
      <c r="H3" s="1" t="s">
        <v>96</v>
      </c>
    </row>
    <row r="4" spans="1:8">
      <c r="A4" s="1" t="s">
        <v>8</v>
      </c>
      <c r="B4" s="1" t="s">
        <v>9</v>
      </c>
      <c r="C4" s="1" t="s">
        <v>10</v>
      </c>
      <c r="D4" s="1" t="s">
        <v>11</v>
      </c>
      <c r="G4" s="1" t="s">
        <v>97</v>
      </c>
      <c r="H4" s="1" t="s">
        <v>98</v>
      </c>
    </row>
    <row r="5" spans="1:8">
      <c r="A5" s="1" t="s">
        <v>12</v>
      </c>
      <c r="B5" s="1" t="s">
        <v>13</v>
      </c>
      <c r="C5" s="1" t="s">
        <v>14</v>
      </c>
      <c r="D5" s="1" t="s">
        <v>15</v>
      </c>
      <c r="G5" s="1" t="s">
        <v>99</v>
      </c>
      <c r="H5" s="1" t="s">
        <v>100</v>
      </c>
    </row>
    <row r="6" spans="1:8">
      <c r="A6" s="1" t="s">
        <v>16</v>
      </c>
      <c r="B6" s="1" t="s">
        <v>17</v>
      </c>
      <c r="C6" s="1" t="s">
        <v>18</v>
      </c>
      <c r="D6" s="1" t="s">
        <v>19</v>
      </c>
      <c r="G6" s="1" t="s">
        <v>101</v>
      </c>
      <c r="H6" s="1" t="s">
        <v>102</v>
      </c>
    </row>
    <row r="7" spans="1:8">
      <c r="A7" s="1" t="s">
        <v>20</v>
      </c>
      <c r="B7" s="4">
        <v>1.3</v>
      </c>
      <c r="C7" s="1" t="s">
        <v>21</v>
      </c>
      <c r="G7" s="1" t="s">
        <v>103</v>
      </c>
      <c r="H7" s="1" t="s">
        <v>104</v>
      </c>
    </row>
    <row r="8" spans="1:8">
      <c r="A8" s="1" t="s">
        <v>22</v>
      </c>
      <c r="B8" s="4">
        <v>1.5</v>
      </c>
      <c r="C8" s="1" t="s">
        <v>23</v>
      </c>
      <c r="D8" s="1" t="s">
        <v>24</v>
      </c>
    </row>
    <row r="9" spans="1:8">
      <c r="A9" s="1" t="s">
        <v>25</v>
      </c>
      <c r="B9" s="4">
        <v>1.7</v>
      </c>
      <c r="C9" s="1" t="s">
        <v>26</v>
      </c>
    </row>
    <row r="10" spans="1:8">
      <c r="A10" s="1" t="s">
        <v>27</v>
      </c>
      <c r="B10" s="4">
        <v>1.9</v>
      </c>
      <c r="C10" s="1" t="s">
        <v>28</v>
      </c>
      <c r="D10" s="1" t="s">
        <v>29</v>
      </c>
    </row>
    <row r="11" spans="1:8">
      <c r="A11" s="1" t="s">
        <v>30</v>
      </c>
      <c r="B11" s="1" t="s">
        <v>31</v>
      </c>
      <c r="C11" s="1" t="s">
        <v>32</v>
      </c>
      <c r="D11" s="1" t="s">
        <v>33</v>
      </c>
    </row>
    <row r="15" spans="1:8" ht="25.5">
      <c r="A15" s="7" t="s">
        <v>35</v>
      </c>
      <c r="B15" s="7"/>
      <c r="C15" s="7"/>
      <c r="D15" s="7"/>
    </row>
    <row r="16" spans="1:8">
      <c r="A16" s="1" t="s">
        <v>36</v>
      </c>
      <c r="B16" s="1" t="s">
        <v>37</v>
      </c>
      <c r="C16" s="1" t="s">
        <v>38</v>
      </c>
      <c r="D16" s="1" t="s">
        <v>39</v>
      </c>
    </row>
    <row r="17" spans="1:4">
      <c r="A17" s="1" t="s">
        <v>40</v>
      </c>
      <c r="B17" s="1" t="s">
        <v>41</v>
      </c>
      <c r="C17" s="1" t="s">
        <v>42</v>
      </c>
      <c r="D17" s="1" t="s">
        <v>43</v>
      </c>
    </row>
    <row r="18" spans="1:4">
      <c r="A18" s="1" t="s">
        <v>40</v>
      </c>
      <c r="B18" s="1" t="s">
        <v>44</v>
      </c>
      <c r="C18" s="1" t="s">
        <v>45</v>
      </c>
      <c r="D18" s="1" t="s">
        <v>46</v>
      </c>
    </row>
    <row r="19" spans="1:4">
      <c r="A19" s="1" t="s">
        <v>47</v>
      </c>
      <c r="B19" s="1" t="s">
        <v>41</v>
      </c>
      <c r="C19" s="1" t="s">
        <v>48</v>
      </c>
      <c r="D19" s="1" t="s">
        <v>49</v>
      </c>
    </row>
    <row r="20" spans="1:4">
      <c r="A20" s="1" t="s">
        <v>47</v>
      </c>
      <c r="B20" s="1" t="s">
        <v>44</v>
      </c>
      <c r="C20" s="1" t="s">
        <v>50</v>
      </c>
      <c r="D20" s="1" t="s">
        <v>51</v>
      </c>
    </row>
    <row r="23" spans="1:4" ht="27">
      <c r="A23" s="8" t="s">
        <v>93</v>
      </c>
      <c r="B23" s="8"/>
      <c r="C23" s="8"/>
      <c r="D23" s="8"/>
    </row>
    <row r="24" spans="1:4">
      <c r="B24" s="1" t="s">
        <v>94</v>
      </c>
      <c r="C24" s="1" t="s">
        <v>106</v>
      </c>
    </row>
    <row r="25" spans="1:4">
      <c r="B25" s="1" t="s">
        <v>36</v>
      </c>
      <c r="C25" s="1" t="s">
        <v>107</v>
      </c>
    </row>
    <row r="26" spans="1:4">
      <c r="B26" s="1" t="s">
        <v>108</v>
      </c>
      <c r="C26" s="1" t="s">
        <v>109</v>
      </c>
    </row>
    <row r="27" spans="1:4">
      <c r="B27" s="1" t="s">
        <v>110</v>
      </c>
      <c r="C27" s="1" t="s">
        <v>111</v>
      </c>
    </row>
    <row r="28" spans="1:4">
      <c r="B28" s="1" t="s">
        <v>97</v>
      </c>
      <c r="C28" s="1" t="s">
        <v>112</v>
      </c>
    </row>
    <row r="29" spans="1:4">
      <c r="B29" s="1" t="s">
        <v>113</v>
      </c>
      <c r="C29" s="1" t="s">
        <v>114</v>
      </c>
    </row>
    <row r="30" spans="1:4">
      <c r="B30" s="1" t="s">
        <v>99</v>
      </c>
      <c r="C30" s="1" t="s">
        <v>115</v>
      </c>
    </row>
    <row r="31" spans="1:4">
      <c r="C31" s="1" t="s">
        <v>116</v>
      </c>
    </row>
    <row r="32" spans="1:4">
      <c r="B32" s="1" t="s">
        <v>101</v>
      </c>
      <c r="C32" s="1" t="s">
        <v>102</v>
      </c>
    </row>
    <row r="33" spans="2:3">
      <c r="B33" s="1" t="s">
        <v>103</v>
      </c>
      <c r="C33" s="1" t="s">
        <v>104</v>
      </c>
    </row>
    <row r="34" spans="2:3">
      <c r="B34" s="1" t="s">
        <v>117</v>
      </c>
      <c r="C34" s="1" t="s">
        <v>118</v>
      </c>
    </row>
  </sheetData>
  <mergeCells count="4">
    <mergeCell ref="A1:D1"/>
    <mergeCell ref="A15:D15"/>
    <mergeCell ref="A23:D23"/>
    <mergeCell ref="G1:H1"/>
  </mergeCells>
  <pageMargins left="0.7" right="0.7" top="0.75" bottom="0.75" header="0.3" footer="0.3"/>
  <pageSetup orientation="portrait" horizontalDpi="4294967293" verticalDpi="0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94C41-306F-4CAF-BD6F-E971FB14F797}">
  <dimension ref="A1:F24"/>
  <sheetViews>
    <sheetView workbookViewId="0">
      <selection activeCell="H21" sqref="H21"/>
    </sheetView>
  </sheetViews>
  <sheetFormatPr defaultColWidth="9.125" defaultRowHeight="14.25"/>
  <cols>
    <col min="1" max="1" width="20.875" style="1" customWidth="1"/>
    <col min="2" max="2" width="14.25" style="1" customWidth="1"/>
    <col min="3" max="3" width="20" style="1" bestFit="1" customWidth="1"/>
    <col min="4" max="4" width="33" style="1" bestFit="1" customWidth="1"/>
    <col min="5" max="5" width="17.375" style="1" customWidth="1"/>
    <col min="6" max="6" width="43.625" style="1" bestFit="1" customWidth="1"/>
    <col min="7" max="16384" width="9.125" style="1"/>
  </cols>
  <sheetData>
    <row r="1" spans="1:6" ht="25.5">
      <c r="A1" s="7" t="s">
        <v>72</v>
      </c>
      <c r="B1" s="7"/>
      <c r="C1" s="7"/>
      <c r="D1" s="7"/>
      <c r="E1" s="7"/>
      <c r="F1" s="7"/>
    </row>
    <row r="2" spans="1:6">
      <c r="A2" s="1" t="s">
        <v>55</v>
      </c>
      <c r="B2" s="1" t="s">
        <v>58</v>
      </c>
      <c r="C2" s="1" t="s">
        <v>56</v>
      </c>
      <c r="D2" s="1" t="s">
        <v>59</v>
      </c>
      <c r="E2" s="1" t="s">
        <v>60</v>
      </c>
      <c r="F2" s="1" t="s">
        <v>3</v>
      </c>
    </row>
    <row r="3" spans="1:6">
      <c r="A3" s="1" t="s">
        <v>4</v>
      </c>
      <c r="B3" s="1" t="s">
        <v>61</v>
      </c>
      <c r="C3" s="4">
        <v>0.45</v>
      </c>
      <c r="D3" s="1" t="s">
        <v>62</v>
      </c>
      <c r="E3" s="1" t="s">
        <v>63</v>
      </c>
      <c r="F3" s="1" t="s">
        <v>88</v>
      </c>
    </row>
    <row r="4" spans="1:6">
      <c r="A4" s="1" t="s">
        <v>8</v>
      </c>
      <c r="B4" s="1" t="s">
        <v>61</v>
      </c>
      <c r="C4" s="4">
        <v>0.6</v>
      </c>
      <c r="D4" s="1" t="s">
        <v>64</v>
      </c>
      <c r="E4" s="1" t="s">
        <v>65</v>
      </c>
      <c r="F4" s="1" t="s">
        <v>88</v>
      </c>
    </row>
    <row r="5" spans="1:6">
      <c r="A5" s="1" t="s">
        <v>16</v>
      </c>
      <c r="B5" s="1" t="s">
        <v>41</v>
      </c>
      <c r="C5" s="4">
        <v>0.85</v>
      </c>
      <c r="D5" s="1" t="s">
        <v>66</v>
      </c>
      <c r="E5" s="1" t="s">
        <v>67</v>
      </c>
      <c r="F5" s="1" t="s">
        <v>88</v>
      </c>
    </row>
    <row r="6" spans="1:6">
      <c r="A6" s="1" t="s">
        <v>25</v>
      </c>
      <c r="B6" s="1" t="s">
        <v>44</v>
      </c>
      <c r="C6" s="4">
        <v>1</v>
      </c>
      <c r="D6" s="1" t="s">
        <v>68</v>
      </c>
      <c r="E6" s="1" t="s">
        <v>69</v>
      </c>
      <c r="F6" s="1" t="s">
        <v>88</v>
      </c>
    </row>
    <row r="7" spans="1:6">
      <c r="A7" s="1" t="s">
        <v>57</v>
      </c>
      <c r="B7" s="1" t="s">
        <v>70</v>
      </c>
      <c r="C7" s="4">
        <v>1</v>
      </c>
      <c r="D7" s="1" t="s">
        <v>68</v>
      </c>
      <c r="E7" s="1" t="s">
        <v>71</v>
      </c>
      <c r="F7" s="1" t="s">
        <v>88</v>
      </c>
    </row>
    <row r="12" spans="1:6" ht="25.5">
      <c r="A12" s="7" t="s">
        <v>86</v>
      </c>
      <c r="B12" s="7"/>
      <c r="C12" s="7"/>
      <c r="D12" s="7"/>
      <c r="E12" s="7"/>
      <c r="F12" s="7"/>
    </row>
    <row r="13" spans="1:6">
      <c r="A13" s="1" t="s">
        <v>85</v>
      </c>
      <c r="B13" s="1" t="s">
        <v>37</v>
      </c>
      <c r="C13" s="1" t="s">
        <v>73</v>
      </c>
      <c r="D13" s="1" t="s">
        <v>74</v>
      </c>
      <c r="E13" s="1" t="s">
        <v>75</v>
      </c>
      <c r="F13" s="1" t="s">
        <v>3</v>
      </c>
    </row>
    <row r="14" spans="1:6">
      <c r="A14" s="1" t="s">
        <v>4</v>
      </c>
      <c r="B14" s="1" t="s">
        <v>61</v>
      </c>
      <c r="C14" s="1" t="s">
        <v>76</v>
      </c>
      <c r="D14" s="1" t="s">
        <v>77</v>
      </c>
      <c r="E14" s="1" t="s">
        <v>78</v>
      </c>
      <c r="F14" s="1" t="s">
        <v>87</v>
      </c>
    </row>
    <row r="15" spans="1:6">
      <c r="A15" s="1" t="s">
        <v>4</v>
      </c>
      <c r="B15" s="1" t="s">
        <v>44</v>
      </c>
      <c r="C15" s="1" t="s">
        <v>79</v>
      </c>
      <c r="D15" s="1" t="s">
        <v>80</v>
      </c>
      <c r="E15" s="1" t="s">
        <v>81</v>
      </c>
      <c r="F15" s="1" t="s">
        <v>87</v>
      </c>
    </row>
    <row r="16" spans="1:6">
      <c r="A16" s="1" t="s">
        <v>4</v>
      </c>
      <c r="B16" s="1" t="s">
        <v>70</v>
      </c>
      <c r="C16" s="1" t="s">
        <v>82</v>
      </c>
      <c r="D16" s="1" t="s">
        <v>83</v>
      </c>
      <c r="E16" s="1" t="s">
        <v>84</v>
      </c>
      <c r="F16" s="1" t="s">
        <v>87</v>
      </c>
    </row>
    <row r="20" spans="1:6">
      <c r="A20" s="9" t="s">
        <v>120</v>
      </c>
      <c r="B20" s="9"/>
      <c r="C20" s="9"/>
      <c r="D20" s="9"/>
      <c r="E20" s="9"/>
      <c r="F20" s="9"/>
    </row>
    <row r="21" spans="1:6">
      <c r="A21" s="1" t="s">
        <v>119</v>
      </c>
      <c r="B21" s="1" t="s">
        <v>58</v>
      </c>
      <c r="C21" s="1" t="s">
        <v>121</v>
      </c>
      <c r="D21" s="1" t="s">
        <v>123</v>
      </c>
    </row>
    <row r="22" spans="1:6">
      <c r="A22" s="3">
        <v>23</v>
      </c>
      <c r="B22" s="1" t="s">
        <v>126</v>
      </c>
      <c r="C22" s="1" t="s">
        <v>122</v>
      </c>
      <c r="D22" s="1" t="s">
        <v>124</v>
      </c>
    </row>
    <row r="23" spans="1:6">
      <c r="A23" s="1" t="s">
        <v>125</v>
      </c>
      <c r="B23" s="1" t="s">
        <v>127</v>
      </c>
      <c r="C23" s="1" t="s">
        <v>128</v>
      </c>
      <c r="D23" s="1" t="s">
        <v>129</v>
      </c>
    </row>
    <row r="24" spans="1:6">
      <c r="A24" s="1" t="s">
        <v>130</v>
      </c>
      <c r="B24" s="1" t="s">
        <v>131</v>
      </c>
      <c r="C24" s="1" t="s">
        <v>132</v>
      </c>
      <c r="D24" s="1" t="s">
        <v>129</v>
      </c>
    </row>
  </sheetData>
  <mergeCells count="3">
    <mergeCell ref="A12:F12"/>
    <mergeCell ref="A1:F1"/>
    <mergeCell ref="A20:F20"/>
  </mergeCells>
  <phoneticPr fontId="3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58DFD-A717-4BD9-8AFC-7F6DA31A3836}">
  <dimension ref="A1:C26"/>
  <sheetViews>
    <sheetView workbookViewId="0">
      <selection activeCell="G5" sqref="G5:P8"/>
    </sheetView>
  </sheetViews>
  <sheetFormatPr defaultColWidth="9.125" defaultRowHeight="14.25"/>
  <cols>
    <col min="1" max="1" width="21.125" style="1" bestFit="1" customWidth="1"/>
    <col min="2" max="2" width="21.875" style="1" bestFit="1" customWidth="1"/>
    <col min="3" max="3" width="22" style="1" customWidth="1"/>
    <col min="4" max="16384" width="9.125" style="1"/>
  </cols>
  <sheetData>
    <row r="1" spans="1:3">
      <c r="A1" s="1" t="s">
        <v>52</v>
      </c>
      <c r="B1" s="1" t="s">
        <v>53</v>
      </c>
      <c r="C1" s="1" t="s">
        <v>54</v>
      </c>
    </row>
    <row r="2" spans="1:3">
      <c r="A2" s="2">
        <v>0.8</v>
      </c>
      <c r="B2" s="3">
        <v>1</v>
      </c>
      <c r="C2" s="3">
        <v>6</v>
      </c>
    </row>
    <row r="3" spans="1:3">
      <c r="A3" s="2">
        <v>0.8</v>
      </c>
      <c r="B3" s="3">
        <v>2</v>
      </c>
      <c r="C3" s="3">
        <v>12</v>
      </c>
    </row>
    <row r="4" spans="1:3">
      <c r="A4" s="2">
        <v>1.5</v>
      </c>
      <c r="B4" s="3">
        <v>2</v>
      </c>
      <c r="C4" s="3">
        <v>6</v>
      </c>
    </row>
    <row r="5" spans="1:3">
      <c r="A5" s="2">
        <v>0.8</v>
      </c>
      <c r="B5" s="3">
        <v>3</v>
      </c>
      <c r="C5" s="3">
        <v>24</v>
      </c>
    </row>
    <row r="6" spans="1:3">
      <c r="A6" s="2">
        <v>1.4</v>
      </c>
      <c r="B6" s="3">
        <v>3</v>
      </c>
      <c r="C6" s="3">
        <v>12</v>
      </c>
    </row>
    <row r="7" spans="1:3">
      <c r="A7" s="2">
        <v>2.2999999999999998</v>
      </c>
      <c r="B7" s="3">
        <v>3</v>
      </c>
      <c r="C7" s="3">
        <v>24</v>
      </c>
    </row>
    <row r="8" spans="1:3">
      <c r="A8" s="2">
        <v>0.8</v>
      </c>
      <c r="B8" s="3">
        <v>4</v>
      </c>
      <c r="C8" s="3">
        <v>36</v>
      </c>
    </row>
    <row r="9" spans="1:3">
      <c r="A9" s="2">
        <v>1.2</v>
      </c>
      <c r="B9" s="3">
        <v>4</v>
      </c>
      <c r="C9" s="3">
        <v>24</v>
      </c>
    </row>
    <row r="10" spans="1:3">
      <c r="A10" s="2">
        <v>2.1</v>
      </c>
      <c r="B10" s="3">
        <v>4</v>
      </c>
      <c r="C10" s="3">
        <v>12</v>
      </c>
    </row>
    <row r="11" spans="1:3">
      <c r="A11" s="2">
        <v>3.2</v>
      </c>
      <c r="B11" s="3">
        <v>4</v>
      </c>
      <c r="C11" s="3">
        <v>6</v>
      </c>
    </row>
    <row r="12" spans="1:3">
      <c r="A12" s="2">
        <v>1</v>
      </c>
      <c r="B12" s="3">
        <v>5</v>
      </c>
      <c r="C12" s="3">
        <v>36</v>
      </c>
    </row>
    <row r="13" spans="1:3">
      <c r="A13" s="2">
        <v>1.6</v>
      </c>
      <c r="B13" s="3">
        <v>5</v>
      </c>
      <c r="C13" s="3">
        <v>24</v>
      </c>
    </row>
    <row r="14" spans="1:3">
      <c r="A14" s="2">
        <v>3</v>
      </c>
      <c r="B14" s="3">
        <v>5</v>
      </c>
      <c r="C14" s="3">
        <v>12</v>
      </c>
    </row>
    <row r="15" spans="1:3">
      <c r="A15" s="2">
        <v>4</v>
      </c>
      <c r="B15" s="3">
        <v>5</v>
      </c>
      <c r="C15" s="3">
        <v>6</v>
      </c>
    </row>
    <row r="26" spans="2:2">
      <c r="B26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AC2FD-139D-499C-9648-12E31CEA8809}">
  <dimension ref="A1:E7"/>
  <sheetViews>
    <sheetView workbookViewId="0">
      <selection activeCell="I16" sqref="I16"/>
    </sheetView>
  </sheetViews>
  <sheetFormatPr defaultColWidth="9.125" defaultRowHeight="14.25"/>
  <cols>
    <col min="1" max="1" width="18" style="1" bestFit="1" customWidth="1"/>
    <col min="2" max="2" width="16.25" style="1" bestFit="1" customWidth="1"/>
    <col min="3" max="3" width="9.125" style="1"/>
    <col min="4" max="5" width="15.25" style="1" bestFit="1" customWidth="1"/>
    <col min="6" max="16384" width="9.125" style="1"/>
  </cols>
  <sheetData>
    <row r="1" spans="1:5" ht="25.5">
      <c r="A1" s="10" t="s">
        <v>92</v>
      </c>
      <c r="B1" s="10"/>
      <c r="C1" s="10"/>
      <c r="D1" s="10"/>
      <c r="E1" s="10"/>
    </row>
    <row r="2" spans="1:5">
      <c r="A2" s="1" t="s">
        <v>89</v>
      </c>
      <c r="B2" s="1" t="s">
        <v>54</v>
      </c>
      <c r="C2" s="1" t="s">
        <v>90</v>
      </c>
      <c r="D2" s="1" t="s">
        <v>91</v>
      </c>
      <c r="E2" s="1" t="s">
        <v>36</v>
      </c>
    </row>
    <row r="3" spans="1:5">
      <c r="A3" s="1" t="s">
        <v>12</v>
      </c>
      <c r="B3" s="1" t="s">
        <v>57</v>
      </c>
      <c r="C3" s="2">
        <v>0.04</v>
      </c>
      <c r="D3" s="6">
        <v>50000000</v>
      </c>
      <c r="E3" s="6">
        <v>49998000</v>
      </c>
    </row>
    <row r="4" spans="1:5">
      <c r="A4" s="11" t="s">
        <v>133</v>
      </c>
      <c r="B4" s="11"/>
      <c r="C4" s="11"/>
      <c r="D4" s="11"/>
      <c r="E4" s="11"/>
    </row>
    <row r="5" spans="1:5">
      <c r="A5" s="11"/>
      <c r="B5" s="11"/>
      <c r="C5" s="11"/>
      <c r="D5" s="11"/>
      <c r="E5" s="11"/>
    </row>
    <row r="6" spans="1:5">
      <c r="A6" s="11"/>
      <c r="B6" s="11"/>
      <c r="C6" s="11"/>
      <c r="D6" s="11"/>
      <c r="E6" s="11"/>
    </row>
    <row r="7" spans="1:5">
      <c r="A7" s="11"/>
      <c r="B7" s="11"/>
      <c r="C7" s="11"/>
      <c r="D7" s="11"/>
      <c r="E7" s="11"/>
    </row>
  </sheetData>
  <mergeCells count="2">
    <mergeCell ref="A1:E1"/>
    <mergeCell ref="A4:E7"/>
  </mergeCells>
  <hyperlinks>
    <hyperlink ref="A1:E1" r:id="rId1" location="vam" display="سپرده نگین امید زرین" xr:uid="{C8C99C99-AD7F-4D8D-B047-42A393DD7F9B}"/>
  </hyperlinks>
  <pageMargins left="0.7" right="0.7" top="0.75" bottom="0.75" header="0.3" footer="0.3"/>
  <pageSetup orientation="portrait" horizontalDpi="4294967293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EDCED-A113-4750-B707-AE5E2940C5FC}">
  <dimension ref="A1:E19"/>
  <sheetViews>
    <sheetView tabSelected="1" workbookViewId="0">
      <selection activeCell="A6" sqref="A6"/>
    </sheetView>
  </sheetViews>
  <sheetFormatPr defaultRowHeight="14.25"/>
  <cols>
    <col min="1" max="1" width="14.625" style="1" bestFit="1" customWidth="1"/>
    <col min="2" max="2" width="15.125" style="1" customWidth="1"/>
    <col min="3" max="4" width="19.875" style="1" customWidth="1"/>
    <col min="5" max="5" width="16.625" style="1" customWidth="1"/>
    <col min="6" max="13" width="12.5" style="1" bestFit="1" customWidth="1"/>
    <col min="14" max="16384" width="9" style="1"/>
  </cols>
  <sheetData>
    <row r="1" spans="1:5">
      <c r="A1" s="1" t="s">
        <v>137</v>
      </c>
      <c r="B1" s="1" t="s">
        <v>136</v>
      </c>
      <c r="C1" s="1" t="s">
        <v>138</v>
      </c>
      <c r="D1" s="1" t="s">
        <v>140</v>
      </c>
      <c r="E1" s="1" t="s">
        <v>139</v>
      </c>
    </row>
    <row r="2" spans="1:5">
      <c r="A2" s="1" t="s">
        <v>134</v>
      </c>
      <c r="B2" s="1" t="s">
        <v>135</v>
      </c>
      <c r="C2" s="6">
        <v>65000000</v>
      </c>
      <c r="D2" s="12">
        <v>104000000</v>
      </c>
      <c r="E2" s="1">
        <v>12</v>
      </c>
    </row>
    <row r="3" spans="1:5">
      <c r="A3" s="1" t="s">
        <v>154</v>
      </c>
      <c r="B3" s="1" t="s">
        <v>153</v>
      </c>
      <c r="C3" s="6">
        <v>185000000</v>
      </c>
      <c r="D3" s="12">
        <v>336000000</v>
      </c>
      <c r="E3" s="1">
        <v>18</v>
      </c>
    </row>
    <row r="4" spans="1:5">
      <c r="A4" s="1" t="s">
        <v>155</v>
      </c>
      <c r="B4" s="1" t="s">
        <v>156</v>
      </c>
      <c r="C4" s="6">
        <v>50000000</v>
      </c>
      <c r="D4" s="12">
        <v>99000000</v>
      </c>
      <c r="E4" s="3">
        <v>12</v>
      </c>
    </row>
    <row r="5" spans="1:5">
      <c r="A5" s="1" t="s">
        <v>155</v>
      </c>
      <c r="B5" s="1" t="s">
        <v>156</v>
      </c>
      <c r="C5" s="6">
        <v>70000000</v>
      </c>
      <c r="D5" s="12">
        <v>150000000</v>
      </c>
      <c r="E5" s="3">
        <v>12</v>
      </c>
    </row>
    <row r="18" spans="4:4">
      <c r="D18" s="3"/>
    </row>
    <row r="19" spans="4:4">
      <c r="D19" s="3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7D874-8CF4-4ADC-9555-6718436EC17D}">
  <dimension ref="A1:D50"/>
  <sheetViews>
    <sheetView workbookViewId="0"/>
  </sheetViews>
  <sheetFormatPr defaultRowHeight="14.25"/>
  <cols>
    <col min="3" max="4" width="0" hidden="1" customWidth="1"/>
  </cols>
  <sheetData>
    <row r="1" spans="1:4" ht="18.75">
      <c r="A1" s="13" t="s">
        <v>143</v>
      </c>
      <c r="B1" s="14"/>
      <c r="D1" s="19" t="s">
        <v>151</v>
      </c>
    </row>
    <row r="2" spans="1:4">
      <c r="D2" s="18" t="s">
        <v>152</v>
      </c>
    </row>
    <row r="3" spans="1:4" ht="15">
      <c r="A3" s="15" t="s">
        <v>144</v>
      </c>
      <c r="B3" s="16"/>
      <c r="D3" s="18">
        <f>IF(B4="",0,B4)</f>
        <v>65000000</v>
      </c>
    </row>
    <row r="4" spans="1:4">
      <c r="A4" t="s">
        <v>138</v>
      </c>
      <c r="B4" s="17">
        <v>65000000</v>
      </c>
      <c r="C4" s="18">
        <v>1</v>
      </c>
      <c r="D4" s="18">
        <f>IF(OR($B$6="",C4&gt;$B$6),0,-$B$5/$B$6)</f>
        <v>-8666666.666666666</v>
      </c>
    </row>
    <row r="5" spans="1:4">
      <c r="A5" t="s">
        <v>140</v>
      </c>
      <c r="B5" s="17">
        <v>104000000</v>
      </c>
      <c r="C5" s="18">
        <v>2</v>
      </c>
      <c r="D5" s="18">
        <f>IF(OR($B$6="",C5&gt;$B$6),0,-$B$5/$B$6)</f>
        <v>-8666666.666666666</v>
      </c>
    </row>
    <row r="6" spans="1:4">
      <c r="A6" t="s">
        <v>145</v>
      </c>
      <c r="B6" s="17">
        <v>12</v>
      </c>
      <c r="C6" s="18">
        <v>3</v>
      </c>
      <c r="D6" s="18">
        <f>IF(OR($B$6="",C6&gt;$B$6),0,-$B$5/$B$6)</f>
        <v>-8666666.666666666</v>
      </c>
    </row>
    <row r="7" spans="1:4">
      <c r="A7" t="s">
        <v>146</v>
      </c>
      <c r="B7" s="17">
        <v>0.5</v>
      </c>
      <c r="C7" s="18">
        <v>4</v>
      </c>
      <c r="D7" s="18">
        <f>IF(OR($B$6="",C7&gt;$B$6),0,-$B$5/$B$6)</f>
        <v>-8666666.666666666</v>
      </c>
    </row>
    <row r="8" spans="1:4">
      <c r="C8" s="18">
        <v>5</v>
      </c>
      <c r="D8" s="18">
        <f>IF(OR($B$6="",C8&gt;$B$6),0,-$B$5/$B$6)</f>
        <v>-8666666.666666666</v>
      </c>
    </row>
    <row r="9" spans="1:4" ht="15">
      <c r="A9" s="15" t="s">
        <v>147</v>
      </c>
      <c r="B9" s="16"/>
      <c r="C9" s="18">
        <v>6</v>
      </c>
      <c r="D9" s="18">
        <f>IF(OR($B$6="",C9&gt;$B$6),0,-$B$5/$B$6)</f>
        <v>-8666666.666666666</v>
      </c>
    </row>
    <row r="10" spans="1:4">
      <c r="A10" t="s">
        <v>141</v>
      </c>
      <c r="B10">
        <f>IF(B6="","",B5/B6)</f>
        <v>8666666.666666666</v>
      </c>
      <c r="C10" s="18">
        <v>7</v>
      </c>
      <c r="D10" s="18">
        <f>IF(OR($B$6="",C10&gt;$B$6),0,-$B$5/$B$6)</f>
        <v>-8666666.666666666</v>
      </c>
    </row>
    <row r="11" spans="1:4">
      <c r="A11" t="s">
        <v>148</v>
      </c>
      <c r="B11">
        <f>IF(OR(B4="",B5=""),"",(B5-B4)/B4)</f>
        <v>0.6</v>
      </c>
      <c r="C11" s="18">
        <v>8</v>
      </c>
      <c r="D11" s="18">
        <f>IF(OR($B$6="",C11&gt;$B$6),0,-$B$5/$B$6)</f>
        <v>-8666666.666666666</v>
      </c>
    </row>
    <row r="12" spans="1:4">
      <c r="A12" t="s">
        <v>149</v>
      </c>
      <c r="B12">
        <f>IF(OR(B4="",B5="",B6=""),"",(B5-B4)/B4/B6*12)</f>
        <v>0.6</v>
      </c>
      <c r="C12" s="18">
        <v>9</v>
      </c>
      <c r="D12" s="18">
        <f>IF(OR($B$6="",C12&gt;$B$6),0,-$B$5/$B$6)</f>
        <v>-8666666.666666666</v>
      </c>
    </row>
    <row r="13" spans="1:4">
      <c r="A13" t="s">
        <v>142</v>
      </c>
      <c r="B13">
        <f>IF(OR(B4="",B5="",B6=""),"",IRR(D3:D50)*12)</f>
        <v>0.97112891188526085</v>
      </c>
      <c r="C13" s="18">
        <v>10</v>
      </c>
      <c r="D13" s="18">
        <f>IF(OR($B$6="",C13&gt;$B$6),0,-$B$5/$B$6)</f>
        <v>-8666666.666666666</v>
      </c>
    </row>
    <row r="14" spans="1:4">
      <c r="A14" t="s">
        <v>150</v>
      </c>
      <c r="B14">
        <f>IF(OR(B13="",B7=""),"",((1+B13)/(1+B7))-1)</f>
        <v>0.31408594125684064</v>
      </c>
      <c r="C14" s="18">
        <v>11</v>
      </c>
      <c r="D14" s="18">
        <f>IF(OR($B$6="",C14&gt;$B$6),0,-$B$5/$B$6)</f>
        <v>-8666666.666666666</v>
      </c>
    </row>
    <row r="15" spans="1:4">
      <c r="C15" s="18">
        <v>12</v>
      </c>
      <c r="D15" s="18">
        <f>IF(OR($B$6="",C15&gt;$B$6),0,-$B$5/$B$6)</f>
        <v>-8666666.666666666</v>
      </c>
    </row>
    <row r="16" spans="1:4">
      <c r="C16" s="18">
        <v>13</v>
      </c>
      <c r="D16" s="18">
        <f>IF(OR($B$6="",C16&gt;$B$6),0,-$B$5/$B$6)</f>
        <v>0</v>
      </c>
    </row>
    <row r="17" spans="3:4">
      <c r="C17" s="18">
        <v>14</v>
      </c>
      <c r="D17" s="18">
        <f>IF(OR($B$6="",C17&gt;$B$6),0,-$B$5/$B$6)</f>
        <v>0</v>
      </c>
    </row>
    <row r="18" spans="3:4">
      <c r="C18" s="18">
        <v>15</v>
      </c>
      <c r="D18" s="18">
        <f>IF(OR($B$6="",C18&gt;$B$6),0,-$B$5/$B$6)</f>
        <v>0</v>
      </c>
    </row>
    <row r="19" spans="3:4">
      <c r="C19" s="18">
        <v>16</v>
      </c>
      <c r="D19" s="18">
        <f>IF(OR($B$6="",C19&gt;$B$6),0,-$B$5/$B$6)</f>
        <v>0</v>
      </c>
    </row>
    <row r="20" spans="3:4">
      <c r="C20" s="18">
        <v>17</v>
      </c>
      <c r="D20" s="18">
        <f>IF(OR($B$6="",C20&gt;$B$6),0,-$B$5/$B$6)</f>
        <v>0</v>
      </c>
    </row>
    <row r="21" spans="3:4">
      <c r="C21" s="18">
        <v>18</v>
      </c>
      <c r="D21" s="18">
        <f>IF(OR($B$6="",C21&gt;$B$6),0,-$B$5/$B$6)</f>
        <v>0</v>
      </c>
    </row>
    <row r="22" spans="3:4">
      <c r="C22" s="18">
        <v>19</v>
      </c>
      <c r="D22" s="18">
        <f>IF(OR($B$6="",C22&gt;$B$6),0,-$B$5/$B$6)</f>
        <v>0</v>
      </c>
    </row>
    <row r="23" spans="3:4">
      <c r="C23" s="18">
        <v>20</v>
      </c>
      <c r="D23" s="18">
        <f>IF(OR($B$6="",C23&gt;$B$6),0,-$B$5/$B$6)</f>
        <v>0</v>
      </c>
    </row>
    <row r="24" spans="3:4">
      <c r="C24" s="18">
        <v>21</v>
      </c>
      <c r="D24" s="18">
        <f>IF(OR($B$6="",C24&gt;$B$6),0,-$B$5/$B$6)</f>
        <v>0</v>
      </c>
    </row>
    <row r="25" spans="3:4">
      <c r="C25" s="18">
        <v>22</v>
      </c>
      <c r="D25" s="18">
        <f>IF(OR($B$6="",C25&gt;$B$6),0,-$B$5/$B$6)</f>
        <v>0</v>
      </c>
    </row>
    <row r="26" spans="3:4">
      <c r="C26" s="18">
        <v>23</v>
      </c>
      <c r="D26" s="18">
        <f>IF(OR($B$6="",C26&gt;$B$6),0,-$B$5/$B$6)</f>
        <v>0</v>
      </c>
    </row>
    <row r="27" spans="3:4">
      <c r="C27" s="18">
        <v>24</v>
      </c>
      <c r="D27" s="18">
        <f>IF(OR($B$6="",C27&gt;$B$6),0,-$B$5/$B$6)</f>
        <v>0</v>
      </c>
    </row>
    <row r="28" spans="3:4">
      <c r="C28" s="18">
        <v>25</v>
      </c>
      <c r="D28" s="18">
        <f>IF(OR($B$6="",C28&gt;$B$6),0,-$B$5/$B$6)</f>
        <v>0</v>
      </c>
    </row>
    <row r="29" spans="3:4">
      <c r="C29" s="18">
        <v>26</v>
      </c>
      <c r="D29" s="18">
        <f>IF(OR($B$6="",C29&gt;$B$6),0,-$B$5/$B$6)</f>
        <v>0</v>
      </c>
    </row>
    <row r="30" spans="3:4">
      <c r="C30" s="18">
        <v>27</v>
      </c>
      <c r="D30" s="18">
        <f>IF(OR($B$6="",C30&gt;$B$6),0,-$B$5/$B$6)</f>
        <v>0</v>
      </c>
    </row>
    <row r="31" spans="3:4">
      <c r="C31" s="18">
        <v>28</v>
      </c>
      <c r="D31" s="18">
        <f>IF(OR($B$6="",C31&gt;$B$6),0,-$B$5/$B$6)</f>
        <v>0</v>
      </c>
    </row>
    <row r="32" spans="3:4">
      <c r="C32" s="18">
        <v>29</v>
      </c>
      <c r="D32" s="18">
        <f>IF(OR($B$6="",C32&gt;$B$6),0,-$B$5/$B$6)</f>
        <v>0</v>
      </c>
    </row>
    <row r="33" spans="3:4">
      <c r="C33" s="18">
        <v>30</v>
      </c>
      <c r="D33" s="18">
        <f>IF(OR($B$6="",C33&gt;$B$6),0,-$B$5/$B$6)</f>
        <v>0</v>
      </c>
    </row>
    <row r="34" spans="3:4">
      <c r="C34" s="18">
        <v>31</v>
      </c>
      <c r="D34" s="18">
        <f>IF(OR($B$6="",C34&gt;$B$6),0,-$B$5/$B$6)</f>
        <v>0</v>
      </c>
    </row>
    <row r="35" spans="3:4">
      <c r="C35" s="18">
        <v>32</v>
      </c>
      <c r="D35" s="18">
        <f>IF(OR($B$6="",C35&gt;$B$6),0,-$B$5/$B$6)</f>
        <v>0</v>
      </c>
    </row>
    <row r="36" spans="3:4">
      <c r="C36" s="18">
        <v>33</v>
      </c>
      <c r="D36" s="18">
        <f>IF(OR($B$6="",C36&gt;$B$6),0,-$B$5/$B$6)</f>
        <v>0</v>
      </c>
    </row>
    <row r="37" spans="3:4">
      <c r="C37" s="18">
        <v>34</v>
      </c>
      <c r="D37" s="18">
        <f>IF(OR($B$6="",C37&gt;$B$6),0,-$B$5/$B$6)</f>
        <v>0</v>
      </c>
    </row>
    <row r="38" spans="3:4">
      <c r="C38" s="18">
        <v>35</v>
      </c>
      <c r="D38" s="18">
        <f>IF(OR($B$6="",C38&gt;$B$6),0,-$B$5/$B$6)</f>
        <v>0</v>
      </c>
    </row>
    <row r="39" spans="3:4">
      <c r="C39" s="18">
        <v>36</v>
      </c>
      <c r="D39" s="18">
        <f>IF(OR($B$6="",C39&gt;$B$6),0,-$B$5/$B$6)</f>
        <v>0</v>
      </c>
    </row>
    <row r="40" spans="3:4">
      <c r="C40" s="18">
        <v>37</v>
      </c>
      <c r="D40" s="18">
        <f>IF(OR($B$6="",C40&gt;$B$6),0,-$B$5/$B$6)</f>
        <v>0</v>
      </c>
    </row>
    <row r="41" spans="3:4">
      <c r="C41" s="18">
        <v>38</v>
      </c>
      <c r="D41" s="18">
        <f>IF(OR($B$6="",C41&gt;$B$6),0,-$B$5/$B$6)</f>
        <v>0</v>
      </c>
    </row>
    <row r="42" spans="3:4">
      <c r="C42" s="18">
        <v>39</v>
      </c>
      <c r="D42" s="18">
        <f>IF(OR($B$6="",C42&gt;$B$6),0,-$B$5/$B$6)</f>
        <v>0</v>
      </c>
    </row>
    <row r="43" spans="3:4">
      <c r="C43" s="18">
        <v>40</v>
      </c>
      <c r="D43" s="18">
        <f>IF(OR($B$6="",C43&gt;$B$6),0,-$B$5/$B$6)</f>
        <v>0</v>
      </c>
    </row>
    <row r="44" spans="3:4">
      <c r="C44" s="18">
        <v>41</v>
      </c>
      <c r="D44" s="18">
        <f>IF(OR($B$6="",C44&gt;$B$6),0,-$B$5/$B$6)</f>
        <v>0</v>
      </c>
    </row>
    <row r="45" spans="3:4">
      <c r="C45" s="18">
        <v>42</v>
      </c>
      <c r="D45" s="18">
        <f>IF(OR($B$6="",C45&gt;$B$6),0,-$B$5/$B$6)</f>
        <v>0</v>
      </c>
    </row>
    <row r="46" spans="3:4">
      <c r="C46" s="18">
        <v>43</v>
      </c>
      <c r="D46" s="18">
        <f>IF(OR($B$6="",C46&gt;$B$6),0,-$B$5/$B$6)</f>
        <v>0</v>
      </c>
    </row>
    <row r="47" spans="3:4">
      <c r="C47" s="18">
        <v>44</v>
      </c>
      <c r="D47" s="18">
        <f>IF(OR($B$6="",C47&gt;$B$6),0,-$B$5/$B$6)</f>
        <v>0</v>
      </c>
    </row>
    <row r="48" spans="3:4">
      <c r="C48" s="18">
        <v>45</v>
      </c>
      <c r="D48" s="18">
        <f>IF(OR($B$6="",C48&gt;$B$6),0,-$B$5/$B$6)</f>
        <v>0</v>
      </c>
    </row>
    <row r="49" spans="3:4">
      <c r="C49" s="18">
        <v>46</v>
      </c>
      <c r="D49" s="18">
        <f>IF(OR($B$6="",C49&gt;$B$6),0,-$B$5/$B$6)</f>
        <v>0</v>
      </c>
    </row>
    <row r="50" spans="3:4">
      <c r="C50" s="18">
        <v>47</v>
      </c>
      <c r="D50" s="18">
        <f>IF(OR($B$6="",C50&gt;$B$6),0,-$B$5/$B$6)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QBank</vt:lpstr>
      <vt:lpstr>HiBank</vt:lpstr>
      <vt:lpstr>Sepino</vt:lpstr>
      <vt:lpstr>OmidBank</vt:lpstr>
      <vt:lpstr>خرید وام</vt:lpstr>
      <vt:lpstr>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 Aghasi</dc:creator>
  <cp:lastModifiedBy>Hamed Aghasi</cp:lastModifiedBy>
  <dcterms:created xsi:type="dcterms:W3CDTF">2026-01-17T12:41:25Z</dcterms:created>
  <dcterms:modified xsi:type="dcterms:W3CDTF">2026-01-26T14:07:54Z</dcterms:modified>
</cp:coreProperties>
</file>