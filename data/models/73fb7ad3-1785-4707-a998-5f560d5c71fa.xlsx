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FDE7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Loan Amortization Schedule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Principal (M IRR)</t>
        </is>
      </c>
      <c r="B4" s="3" t="n">
        <v>1000</v>
      </c>
    </row>
    <row r="5">
      <c r="A5" t="inlineStr">
        <is>
          <t>Annual Rate</t>
        </is>
      </c>
      <c r="B5" s="3" t="n">
        <v>0.24</v>
      </c>
    </row>
    <row r="6">
      <c r="A6" t="inlineStr">
        <is>
          <t>Term (months)</t>
        </is>
      </c>
      <c r="B6" s="3" t="n">
        <v>12</v>
      </c>
    </row>
    <row r="7">
      <c r="A7" t="inlineStr">
        <is>
          <t>Loan Type</t>
        </is>
      </c>
      <c r="B7" s="3" t="inlineStr">
        <is>
          <t>bullet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7" customWidth="1" min="5" max="5"/>
  </cols>
  <sheetData>
    <row r="1">
      <c r="A1" s="2" t="inlineStr">
        <is>
          <t>Month</t>
        </is>
      </c>
      <c r="B1" s="2" t="inlineStr">
        <is>
          <t>Payment</t>
        </is>
      </c>
      <c r="C1" s="2" t="inlineStr">
        <is>
          <t>Principal</t>
        </is>
      </c>
      <c r="D1" s="2" t="inlineStr">
        <is>
          <t>Interest</t>
        </is>
      </c>
      <c r="E1" s="2" t="inlineStr">
        <is>
          <t>Balance</t>
        </is>
      </c>
    </row>
    <row r="2">
      <c r="A2" t="n">
        <v>1</v>
      </c>
      <c r="B2" s="4">
        <f>C2+D2</f>
        <v/>
      </c>
      <c r="C2" s="4">
        <f>IF(A2=Inputs!$B$6,Inputs!$B$4,0)</f>
        <v/>
      </c>
      <c r="D2" s="4">
        <f>Inputs!$B$4*Inputs!$B$5/12</f>
        <v/>
      </c>
      <c r="E2" s="4">
        <f>Inputs!$B$4-C2</f>
        <v/>
      </c>
    </row>
    <row r="3">
      <c r="A3" t="n">
        <v>2</v>
      </c>
      <c r="B3" s="4">
        <f>C3+D3</f>
        <v/>
      </c>
      <c r="C3" s="4">
        <f>IF(A3=Inputs!$B$6,Inputs!$B$4,0)</f>
        <v/>
      </c>
      <c r="D3" s="4">
        <f>Inputs!$B$4*Inputs!$B$5/12</f>
        <v/>
      </c>
      <c r="E3" s="4">
        <f>E2-C3</f>
        <v/>
      </c>
    </row>
    <row r="4">
      <c r="A4" t="n">
        <v>3</v>
      </c>
      <c r="B4" s="4">
        <f>C4+D4</f>
        <v/>
      </c>
      <c r="C4" s="4">
        <f>IF(A4=Inputs!$B$6,Inputs!$B$4,0)</f>
        <v/>
      </c>
      <c r="D4" s="4">
        <f>Inputs!$B$4*Inputs!$B$5/12</f>
        <v/>
      </c>
      <c r="E4" s="4">
        <f>E3-C4</f>
        <v/>
      </c>
    </row>
    <row r="5">
      <c r="A5" t="n">
        <v>4</v>
      </c>
      <c r="B5" s="4">
        <f>C5+D5</f>
        <v/>
      </c>
      <c r="C5" s="4">
        <f>IF(A5=Inputs!$B$6,Inputs!$B$4,0)</f>
        <v/>
      </c>
      <c r="D5" s="4">
        <f>Inputs!$B$4*Inputs!$B$5/12</f>
        <v/>
      </c>
      <c r="E5" s="4">
        <f>E4-C5</f>
        <v/>
      </c>
    </row>
    <row r="6">
      <c r="A6" t="n">
        <v>5</v>
      </c>
      <c r="B6" s="4">
        <f>C6+D6</f>
        <v/>
      </c>
      <c r="C6" s="4">
        <f>IF(A6=Inputs!$B$6,Inputs!$B$4,0)</f>
        <v/>
      </c>
      <c r="D6" s="4">
        <f>Inputs!$B$4*Inputs!$B$5/12</f>
        <v/>
      </c>
      <c r="E6" s="4">
        <f>E5-C6</f>
        <v/>
      </c>
    </row>
    <row r="7">
      <c r="A7" t="n">
        <v>6</v>
      </c>
      <c r="B7" s="4">
        <f>C7+D7</f>
        <v/>
      </c>
      <c r="C7" s="4">
        <f>IF(A7=Inputs!$B$6,Inputs!$B$4,0)</f>
        <v/>
      </c>
      <c r="D7" s="4">
        <f>Inputs!$B$4*Inputs!$B$5/12</f>
        <v/>
      </c>
      <c r="E7" s="4">
        <f>E6-C7</f>
        <v/>
      </c>
    </row>
    <row r="8">
      <c r="A8" t="n">
        <v>7</v>
      </c>
      <c r="B8" s="4">
        <f>C8+D8</f>
        <v/>
      </c>
      <c r="C8" s="4">
        <f>IF(A8=Inputs!$B$6,Inputs!$B$4,0)</f>
        <v/>
      </c>
      <c r="D8" s="4">
        <f>Inputs!$B$4*Inputs!$B$5/12</f>
        <v/>
      </c>
      <c r="E8" s="4">
        <f>E7-C8</f>
        <v/>
      </c>
    </row>
    <row r="9">
      <c r="A9" t="n">
        <v>8</v>
      </c>
      <c r="B9" s="4">
        <f>C9+D9</f>
        <v/>
      </c>
      <c r="C9" s="4">
        <f>IF(A9=Inputs!$B$6,Inputs!$B$4,0)</f>
        <v/>
      </c>
      <c r="D9" s="4">
        <f>Inputs!$B$4*Inputs!$B$5/12</f>
        <v/>
      </c>
      <c r="E9" s="4">
        <f>E8-C9</f>
        <v/>
      </c>
    </row>
    <row r="10">
      <c r="A10" t="n">
        <v>9</v>
      </c>
      <c r="B10" s="4">
        <f>C10+D10</f>
        <v/>
      </c>
      <c r="C10" s="4">
        <f>IF(A10=Inputs!$B$6,Inputs!$B$4,0)</f>
        <v/>
      </c>
      <c r="D10" s="4">
        <f>Inputs!$B$4*Inputs!$B$5/12</f>
        <v/>
      </c>
      <c r="E10" s="4">
        <f>E9-C10</f>
        <v/>
      </c>
    </row>
    <row r="11">
      <c r="A11" t="n">
        <v>10</v>
      </c>
      <c r="B11" s="4">
        <f>C11+D11</f>
        <v/>
      </c>
      <c r="C11" s="4">
        <f>IF(A11=Inputs!$B$6,Inputs!$B$4,0)</f>
        <v/>
      </c>
      <c r="D11" s="4">
        <f>Inputs!$B$4*Inputs!$B$5/12</f>
        <v/>
      </c>
      <c r="E11" s="4">
        <f>E10-C11</f>
        <v/>
      </c>
    </row>
    <row r="12">
      <c r="A12" t="n">
        <v>11</v>
      </c>
      <c r="B12" s="4">
        <f>C12+D12</f>
        <v/>
      </c>
      <c r="C12" s="4">
        <f>IF(A12=Inputs!$B$6,Inputs!$B$4,0)</f>
        <v/>
      </c>
      <c r="D12" s="4">
        <f>Inputs!$B$4*Inputs!$B$5/12</f>
        <v/>
      </c>
      <c r="E12" s="4">
        <f>E11-C12</f>
        <v/>
      </c>
    </row>
    <row r="13">
      <c r="A13" t="n">
        <v>12</v>
      </c>
      <c r="B13" s="4">
        <f>C13+D13</f>
        <v/>
      </c>
      <c r="C13" s="4">
        <f>IF(A13=Inputs!$B$6,Inputs!$B$4,0)</f>
        <v/>
      </c>
      <c r="D13" s="4">
        <f>Inputs!$B$4*Inputs!$B$5/12</f>
        <v/>
      </c>
      <c r="E13" s="4">
        <f>E12-C13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2026-02-24T15:36:55Z</dcterms:created>
  <dcterms:modified xmlns:dcterms="http://purl.org/dc/terms/" xmlns:xsi="http://www.w3.org/2001/XMLSchema-instance" xsi:type="dcterms:W3CDTF">2026-02-24T15:36:55Z</dcterms:modified>
</cp:coreProperties>
</file>