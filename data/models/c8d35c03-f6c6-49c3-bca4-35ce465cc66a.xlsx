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_Assumptions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P&amp;L Model — Company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Gross Margin</t>
        </is>
      </c>
      <c r="B4" s="3" t="n">
        <v>0.4</v>
      </c>
    </row>
    <row r="5">
      <c r="A5" t="inlineStr">
        <is>
          <t>EBITDA Margin</t>
        </is>
      </c>
      <c r="B5" s="3" t="n">
        <v>0.25</v>
      </c>
    </row>
    <row r="6">
      <c r="A6" t="inlineStr">
        <is>
          <t>D&amp;A % of Revenue</t>
        </is>
      </c>
      <c r="B6" s="3" t="n">
        <v>0.1</v>
      </c>
    </row>
    <row r="7">
      <c r="A7" t="inlineStr">
        <is>
          <t>Tax Rate</t>
        </is>
      </c>
      <c r="B7" s="3" t="n">
        <v>0.25</v>
      </c>
    </row>
    <row r="8">
      <c r="A8" t="inlineStr">
        <is>
          <t>Interest Expense (B IRR)</t>
        </is>
      </c>
      <c r="B8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</cols>
  <sheetData>
    <row r="1">
      <c r="A1" s="2" t="inlineStr">
        <is>
          <t>Item</t>
        </is>
      </c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t="inlineStr">
        <is>
          <t>Revenue (B IRR)</t>
        </is>
      </c>
      <c r="B2" s="3" t="n">
        <v>1150</v>
      </c>
      <c r="C2" s="3" t="n">
        <v>1322.5</v>
      </c>
      <c r="D2" s="3" t="n">
        <v>1520.87</v>
      </c>
    </row>
    <row r="3">
      <c r="A3" t="inlineStr">
        <is>
          <t>Gross Profit</t>
        </is>
      </c>
      <c r="B3" s="4">
        <f>B2*PL_Assumptions!$B$4</f>
        <v/>
      </c>
      <c r="C3" s="4">
        <f>C2*PL_Assumptions!$B$4</f>
        <v/>
      </c>
      <c r="D3" s="4">
        <f>D2*PL_Assumptions!$B$4</f>
        <v/>
      </c>
    </row>
    <row r="4">
      <c r="A4" t="inlineStr">
        <is>
          <t>EBITDA</t>
        </is>
      </c>
      <c r="B4" s="4">
        <f>B2*PL_Assumptions!$B$5</f>
        <v/>
      </c>
      <c r="C4" s="4">
        <f>C2*PL_Assumptions!$B$5</f>
        <v/>
      </c>
      <c r="D4" s="4">
        <f>D2*PL_Assumptions!$B$5</f>
        <v/>
      </c>
    </row>
    <row r="5">
      <c r="A5" t="inlineStr">
        <is>
          <t>D&amp;A</t>
        </is>
      </c>
      <c r="B5" s="4">
        <f>B2*PL_Assumptions!$B$6</f>
        <v/>
      </c>
      <c r="C5" s="4">
        <f>C2*PL_Assumptions!$B$6</f>
        <v/>
      </c>
      <c r="D5" s="4">
        <f>D2*PL_Assumptions!$B$6</f>
        <v/>
      </c>
    </row>
    <row r="6">
      <c r="A6" t="inlineStr">
        <is>
          <t>EBIT</t>
        </is>
      </c>
      <c r="B6" s="4">
        <f>B4-B5</f>
        <v/>
      </c>
      <c r="C6" s="4">
        <f>C4-C5</f>
        <v/>
      </c>
      <c r="D6" s="4">
        <f>D4-D5</f>
        <v/>
      </c>
    </row>
    <row r="7">
      <c r="A7" t="inlineStr">
        <is>
          <t>Interest Expense (B IRR)</t>
        </is>
      </c>
      <c r="B7" s="3">
        <f>PL_Assumptions!$B$8</f>
        <v/>
      </c>
      <c r="C7" s="3">
        <f>PL_Assumptions!$B$8</f>
        <v/>
      </c>
      <c r="D7" s="3">
        <f>PL_Assumptions!$B$8</f>
        <v/>
      </c>
    </row>
    <row r="8">
      <c r="A8" t="inlineStr">
        <is>
          <t>EBT</t>
        </is>
      </c>
      <c r="B8" s="4">
        <f>B6-B7</f>
        <v/>
      </c>
      <c r="C8" s="4">
        <f>C6-C7</f>
        <v/>
      </c>
      <c r="D8" s="4">
        <f>D6-D7</f>
        <v/>
      </c>
    </row>
    <row r="9">
      <c r="A9" t="inlineStr">
        <is>
          <t>Tax</t>
        </is>
      </c>
      <c r="B9" s="4">
        <f>IF(B8&gt;0,B8*PL_Assumptions!$B$7,0)</f>
        <v/>
      </c>
      <c r="C9" s="4">
        <f>IF(C8&gt;0,C8*PL_Assumptions!$B$7,0)</f>
        <v/>
      </c>
      <c r="D9" s="4">
        <f>IF(D8&gt;0,D8*PL_Assumptions!$B$7,0)</f>
        <v/>
      </c>
    </row>
    <row r="10">
      <c r="A10" t="inlineStr">
        <is>
          <t>Net Income</t>
        </is>
      </c>
      <c r="B10" s="5">
        <f>B8-B9</f>
        <v/>
      </c>
      <c r="C10" s="5">
        <f>C8-C9</f>
        <v/>
      </c>
      <c r="D10" s="5">
        <f>D8-D9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2026-02-24T12:38:48Z</dcterms:created>
  <dcterms:modified xmlns:dcterms="http://purl.org/dc/terms/" xmlns:xsi="http://www.w3.org/2001/XMLSchema-instance" xsi:type="dcterms:W3CDTF">2026-02-24T12:38:48Z</dcterms:modified>
</cp:coreProperties>
</file>