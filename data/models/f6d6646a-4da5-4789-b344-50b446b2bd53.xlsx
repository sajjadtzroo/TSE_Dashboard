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DCF Model — شرکت نمونه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WACC</t>
        </is>
      </c>
      <c r="B4" s="3" t="n">
        <v>0.22</v>
      </c>
    </row>
    <row r="5">
      <c r="A5" t="inlineStr">
        <is>
          <t>Terminal Growth Rate</t>
        </is>
      </c>
      <c r="B5" s="3" t="n">
        <v>0.03</v>
      </c>
    </row>
    <row r="6">
      <c r="A6" t="inlineStr">
        <is>
          <t>Net Debt (B IRR)</t>
        </is>
      </c>
      <c r="B6" s="3" t="n">
        <v>0</v>
      </c>
    </row>
    <row r="7">
      <c r="A7" t="inlineStr">
        <is>
          <t>Shares Outstanding (M)</t>
        </is>
      </c>
      <c r="B7" s="3" t="n">
        <v>1000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rightToLeft="1"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26" customWidth="1" min="3" max="3"/>
    <col width="26" customWidth="1" min="4" max="4"/>
  </cols>
  <sheetData>
    <row r="1">
      <c r="A1" s="2" t="inlineStr">
        <is>
          <t>Item</t>
        </is>
      </c>
      <c r="B1" s="2" t="inlineStr">
        <is>
          <t>Year 1</t>
        </is>
      </c>
      <c r="C1" s="2" t="inlineStr">
        <is>
          <t>Year 2</t>
        </is>
      </c>
      <c r="D1" s="2" t="inlineStr">
        <is>
          <t>Year 3</t>
        </is>
      </c>
    </row>
    <row r="2">
      <c r="A2" t="inlineStr">
        <is>
          <t>Year #</t>
        </is>
      </c>
      <c r="B2" t="n">
        <v>1</v>
      </c>
      <c r="C2" t="n">
        <v>2</v>
      </c>
      <c r="D2" t="n">
        <v>3</v>
      </c>
    </row>
    <row r="3">
      <c r="A3" t="inlineStr">
        <is>
          <t>EBIT (B IRR)</t>
        </is>
      </c>
      <c r="B3" s="3" t="n">
        <v>500</v>
      </c>
      <c r="C3" s="3" t="n">
        <v>500</v>
      </c>
      <c r="D3" s="3" t="n">
        <v>500</v>
      </c>
    </row>
    <row r="4">
      <c r="A4" t="inlineStr">
        <is>
          <t>Tax Rate</t>
        </is>
      </c>
      <c r="B4" s="3" t="n">
        <v>0.25</v>
      </c>
      <c r="C4" s="3" t="n">
        <v>0.25</v>
      </c>
      <c r="D4" s="3" t="n">
        <v>0.25</v>
      </c>
    </row>
    <row r="5">
      <c r="A5" t="inlineStr">
        <is>
          <t>D&amp;A (B IRR)</t>
        </is>
      </c>
      <c r="B5" s="3" t="n">
        <v>50</v>
      </c>
      <c r="C5" s="3" t="n">
        <v>50</v>
      </c>
      <c r="D5" s="3" t="n">
        <v>50</v>
      </c>
    </row>
    <row r="6">
      <c r="A6" t="inlineStr">
        <is>
          <t>CapEx (B IRR)</t>
        </is>
      </c>
      <c r="B6" s="3" t="n">
        <v>100</v>
      </c>
      <c r="C6" s="3" t="n">
        <v>200</v>
      </c>
      <c r="D6" s="3" t="n">
        <v>100</v>
      </c>
    </row>
    <row r="7">
      <c r="A7" t="inlineStr">
        <is>
          <t>Delta WC (B IRR)</t>
        </is>
      </c>
      <c r="B7" s="3" t="n">
        <v>50</v>
      </c>
      <c r="C7" s="3" t="n">
        <v>50</v>
      </c>
      <c r="D7" s="3" t="n">
        <v>50</v>
      </c>
    </row>
    <row r="8">
      <c r="A8" t="inlineStr">
        <is>
          <t>FCFF (B IRR)</t>
        </is>
      </c>
      <c r="B8" s="4">
        <f>B3*(1-B4)+B5-B6-B7</f>
        <v/>
      </c>
      <c r="C8" s="4">
        <f>C3*(1-C4)+C5-C6-C7</f>
        <v/>
      </c>
      <c r="D8" s="4">
        <f>D3*(1-D4)+D5-D6-D7</f>
        <v/>
      </c>
    </row>
    <row r="9">
      <c r="A9" t="inlineStr">
        <is>
          <t>Discount Factor</t>
        </is>
      </c>
      <c r="B9" s="4">
        <f>(1+Assumptions!$B$4)^B2</f>
        <v/>
      </c>
      <c r="C9" s="4">
        <f>(1+Assumptions!$B$4)^C2</f>
        <v/>
      </c>
      <c r="D9" s="4">
        <f>(1+Assumptions!$B$4)^D2</f>
        <v/>
      </c>
    </row>
    <row r="10">
      <c r="A10" t="inlineStr">
        <is>
          <t>PV of FCFF</t>
        </is>
      </c>
      <c r="B10" s="4">
        <f>B8/B9</f>
        <v/>
      </c>
      <c r="C10" s="4">
        <f>C8/C9</f>
        <v/>
      </c>
      <c r="D10" s="4">
        <f>D8/D9</f>
        <v/>
      </c>
    </row>
    <row r="11"/>
    <row r="12"/>
    <row r="13">
      <c r="A13" t="inlineStr">
        <is>
          <t>Sum PV FCFFs</t>
        </is>
      </c>
      <c r="B13" s="5">
        <f>SUM(B10:D10)</f>
        <v/>
      </c>
    </row>
    <row r="14">
      <c r="A14" t="inlineStr">
        <is>
          <t>Terminal FCFF</t>
        </is>
      </c>
      <c r="B14" s="5">
        <f>D8*(1+Assumptions!$B$5)</f>
        <v/>
      </c>
    </row>
    <row r="15">
      <c r="A15" t="inlineStr">
        <is>
          <t>Terminal Value</t>
        </is>
      </c>
      <c r="B15" s="5">
        <f>B14/(Assumptions!$B$4-Assumptions!$B$5)</f>
        <v/>
      </c>
    </row>
    <row r="16">
      <c r="A16" t="inlineStr">
        <is>
          <t>PV Terminal Value</t>
        </is>
      </c>
      <c r="B16" s="5">
        <f>B15/(1+Assumptions!$B$4)^3</f>
        <v/>
      </c>
    </row>
    <row r="17">
      <c r="A17" t="inlineStr">
        <is>
          <t>Enterprise Value</t>
        </is>
      </c>
      <c r="B17" s="5">
        <f>B13+B16</f>
        <v/>
      </c>
    </row>
    <row r="18">
      <c r="A18" t="inlineStr">
        <is>
          <t>(-) Net Debt</t>
        </is>
      </c>
      <c r="B18" s="5">
        <f>Assumptions!$B$6</f>
        <v/>
      </c>
    </row>
    <row r="19">
      <c r="A19" t="inlineStr">
        <is>
          <t>Equity Value</t>
        </is>
      </c>
      <c r="B19" s="5">
        <f>B17-B18</f>
        <v/>
      </c>
    </row>
    <row r="20">
      <c r="A20" t="inlineStr">
        <is>
          <t>Shares (M)</t>
        </is>
      </c>
      <c r="B20" s="5">
        <f>Assumptions!$B$7</f>
        <v/>
      </c>
    </row>
    <row r="21">
      <c r="A21" t="inlineStr">
        <is>
          <t>Price / Share (IRR)</t>
        </is>
      </c>
      <c r="B21" s="5">
        <f>B19/B20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WACC \ Terminal Growth</t>
        </is>
      </c>
      <c r="B1" s="2" t="inlineStr">
        <is>
          <t>1.0%</t>
        </is>
      </c>
      <c r="C1" s="2" t="inlineStr">
        <is>
          <t>2.0%</t>
        </is>
      </c>
      <c r="D1" s="2" t="inlineStr">
        <is>
          <t>3.0%</t>
        </is>
      </c>
      <c r="E1" s="2" t="inlineStr">
        <is>
          <t>4.0%</t>
        </is>
      </c>
      <c r="F1" s="2" t="inlineStr">
        <is>
          <t>5.0%</t>
        </is>
      </c>
    </row>
    <row r="2">
      <c r="A2" t="inlineStr">
        <is>
          <t>18.0%</t>
        </is>
      </c>
      <c r="B2" t="n">
        <v>1.51</v>
      </c>
      <c r="C2" t="n">
        <v>1.57</v>
      </c>
      <c r="D2" t="n">
        <v>1.64</v>
      </c>
      <c r="E2" t="n">
        <v>1.73</v>
      </c>
      <c r="F2" t="n">
        <v>1.82</v>
      </c>
    </row>
    <row r="3">
      <c r="A3" t="inlineStr">
        <is>
          <t>19.0%</t>
        </is>
      </c>
      <c r="B3" t="n">
        <v>1.43</v>
      </c>
      <c r="C3" t="n">
        <v>1.48</v>
      </c>
      <c r="D3" t="n">
        <v>1.54</v>
      </c>
      <c r="E3" t="n">
        <v>1.61</v>
      </c>
      <c r="F3" t="n">
        <v>1.7</v>
      </c>
    </row>
    <row r="4">
      <c r="A4" t="inlineStr">
        <is>
          <t>20.0%</t>
        </is>
      </c>
      <c r="B4" t="n">
        <v>1.36</v>
      </c>
      <c r="C4" t="n">
        <v>1.41</v>
      </c>
      <c r="D4" t="n">
        <v>1.46</v>
      </c>
      <c r="E4" t="n">
        <v>1.52</v>
      </c>
      <c r="F4" t="n">
        <v>1.59</v>
      </c>
    </row>
    <row r="5">
      <c r="A5" t="inlineStr">
        <is>
          <t>21.0%</t>
        </is>
      </c>
      <c r="B5" t="n">
        <v>1.29</v>
      </c>
      <c r="C5" t="n">
        <v>1.34</v>
      </c>
      <c r="D5" t="n">
        <v>1.38</v>
      </c>
      <c r="E5" t="n">
        <v>1.43</v>
      </c>
      <c r="F5" t="n">
        <v>1.49</v>
      </c>
    </row>
    <row r="6">
      <c r="A6" t="inlineStr">
        <is>
          <t>22.0%</t>
        </is>
      </c>
      <c r="B6" t="n">
        <v>1.24</v>
      </c>
      <c r="C6" t="n">
        <v>1.27</v>
      </c>
      <c r="D6" t="n">
        <v>1.32</v>
      </c>
      <c r="E6" t="n">
        <v>1.36</v>
      </c>
      <c r="F6" t="n">
        <v>1.41</v>
      </c>
    </row>
    <row r="7">
      <c r="A7" t="inlineStr">
        <is>
          <t>23.0%</t>
        </is>
      </c>
      <c r="B7" t="n">
        <v>1.19</v>
      </c>
      <c r="C7" t="n">
        <v>1.22</v>
      </c>
      <c r="D7" t="n">
        <v>1.26</v>
      </c>
      <c r="E7" t="n">
        <v>1.3</v>
      </c>
      <c r="F7" t="n">
        <v>1.34</v>
      </c>
    </row>
    <row r="8">
      <c r="A8" t="inlineStr">
        <is>
          <t>24.0%</t>
        </is>
      </c>
      <c r="B8" t="n">
        <v>1.14</v>
      </c>
      <c r="C8" t="n">
        <v>1.17</v>
      </c>
      <c r="D8" t="n">
        <v>1.2</v>
      </c>
      <c r="E8" t="n">
        <v>1.24</v>
      </c>
      <c r="F8" t="n">
        <v>1.28</v>
      </c>
    </row>
    <row r="9">
      <c r="A9" t="inlineStr">
        <is>
          <t>25.0%</t>
        </is>
      </c>
      <c r="B9" t="n">
        <v>1.1</v>
      </c>
      <c r="C9" t="n">
        <v>1.12</v>
      </c>
      <c r="D9" t="n">
        <v>1.15</v>
      </c>
      <c r="E9" t="n">
        <v>1.19</v>
      </c>
      <c r="F9" t="n">
        <v>1.22</v>
      </c>
    </row>
    <row r="10">
      <c r="A10" t="inlineStr">
        <is>
          <t>26.0%</t>
        </is>
      </c>
      <c r="B10" t="n">
        <v>1.06</v>
      </c>
      <c r="C10" t="n">
        <v>1.08</v>
      </c>
      <c r="D10" t="n">
        <v>1.11</v>
      </c>
      <c r="E10" t="n">
        <v>1.14</v>
      </c>
      <c r="F10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2026-02-24T09:48:34Z</dcterms:created>
  <dcterms:modified xmlns:dcterms="http://purl.org/dc/terms/" xmlns:xsi="http://www.w3.org/2001/XMLSchema-instance" xsi:type="dcterms:W3CDTF">2026-02-24T09:48:34Z</dcterms:modified>
</cp:coreProperties>
</file>