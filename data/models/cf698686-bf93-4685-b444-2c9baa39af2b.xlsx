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C2030"/>
      </patternFill>
    </fill>
    <fill>
      <patternFill patternType="solid">
        <fgColor rgb="00FFFDE7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rightToLeft="1"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Three-Statement Model — Assumptions</t>
        </is>
      </c>
    </row>
    <row r="2"/>
    <row r="3">
      <c r="A3" s="2" t="inlineStr">
        <is>
          <t>Parameter</t>
        </is>
      </c>
      <c r="B3" s="2" t="inlineStr">
        <is>
          <t>Value</t>
        </is>
      </c>
    </row>
    <row r="4">
      <c r="A4" t="inlineStr">
        <is>
          <t>Tax Rate</t>
        </is>
      </c>
      <c r="B4" s="3" t="n">
        <v>0.25</v>
      </c>
    </row>
    <row r="5">
      <c r="A5" t="inlineStr">
        <is>
          <t>Dividend Payout Ratio</t>
        </is>
      </c>
      <c r="B5" s="3" t="n">
        <v>0.3</v>
      </c>
    </row>
    <row r="6"/>
    <row r="7">
      <c r="A7" s="4" t="inlineStr">
        <is>
          <t>Opening Balance Sheet</t>
        </is>
      </c>
    </row>
    <row r="8">
      <c r="A8" s="2" t="inlineStr">
        <is>
          <t>Item</t>
        </is>
      </c>
      <c r="B8" s="2" t="inlineStr">
        <is>
          <t>Value</t>
        </is>
      </c>
    </row>
    <row r="9">
      <c r="A9" t="inlineStr">
        <is>
          <t>Cash</t>
        </is>
      </c>
      <c r="B9" s="3" t="n">
        <v>30</v>
      </c>
    </row>
    <row r="10">
      <c r="A10" t="inlineStr">
        <is>
          <t>Accounts Receivable</t>
        </is>
      </c>
      <c r="B10" s="3" t="n">
        <v>15</v>
      </c>
    </row>
    <row r="11">
      <c r="A11" t="inlineStr">
        <is>
          <t>Inventory</t>
        </is>
      </c>
      <c r="B11" s="3" t="n">
        <v>20</v>
      </c>
    </row>
    <row r="12">
      <c r="A12" t="inlineStr">
        <is>
          <t>PP&amp;E (Net)</t>
        </is>
      </c>
      <c r="B12" s="3" t="n">
        <v>80</v>
      </c>
    </row>
    <row r="13">
      <c r="A13" t="inlineStr">
        <is>
          <t>Other Assets</t>
        </is>
      </c>
      <c r="B13" s="3" t="n">
        <v>5</v>
      </c>
    </row>
    <row r="14">
      <c r="A14" t="inlineStr">
        <is>
          <t>Accounts Payable</t>
        </is>
      </c>
      <c r="B14" s="3" t="n">
        <v>10</v>
      </c>
    </row>
    <row r="15">
      <c r="A15" t="inlineStr">
        <is>
          <t>Other Liabilities</t>
        </is>
      </c>
      <c r="B15" s="3" t="n">
        <v>10</v>
      </c>
    </row>
    <row r="16">
      <c r="A16" t="inlineStr">
        <is>
          <t>Equity</t>
        </is>
      </c>
      <c r="B16" s="3" t="n">
        <v>130</v>
      </c>
    </row>
    <row r="17">
      <c r="A17" t="inlineStr">
        <is>
          <t>Total Assets</t>
        </is>
      </c>
      <c r="B17" s="5">
        <f>SUM(B9:B13)</f>
        <v/>
      </c>
    </row>
    <row r="18">
      <c r="A18" t="inlineStr">
        <is>
          <t>Total Liabilities</t>
        </is>
      </c>
      <c r="B18" s="5">
        <f>B14+B15</f>
        <v/>
      </c>
    </row>
    <row r="19">
      <c r="A19" t="inlineStr">
        <is>
          <t>Total L + E</t>
        </is>
      </c>
      <c r="B19" s="6">
        <f>B18+B16</f>
        <v/>
      </c>
    </row>
    <row r="20"/>
    <row r="21">
      <c r="A21" s="4" t="inlineStr">
        <is>
          <t>Annual Inputs</t>
        </is>
      </c>
    </row>
    <row r="22">
      <c r="A22" s="2" t="inlineStr">
        <is>
          <t>Item</t>
        </is>
      </c>
      <c r="B22" s="2" t="inlineStr">
        <is>
          <t>Year 1</t>
        </is>
      </c>
      <c r="C22" s="2" t="inlineStr">
        <is>
          <t>Year 2</t>
        </is>
      </c>
      <c r="D22" s="2" t="inlineStr">
        <is>
          <t>Year 3</t>
        </is>
      </c>
    </row>
    <row r="23">
      <c r="A23" t="inlineStr">
        <is>
          <t>Revenue</t>
        </is>
      </c>
      <c r="B23" s="3" t="n">
        <v>100</v>
      </c>
      <c r="C23" s="3" t="n">
        <v>110</v>
      </c>
      <c r="D23" s="3" t="n">
        <v>121</v>
      </c>
    </row>
    <row r="24">
      <c r="A24" t="inlineStr">
        <is>
          <t>EBIT</t>
        </is>
      </c>
      <c r="B24" s="3" t="n">
        <v>20</v>
      </c>
      <c r="C24" s="3" t="n">
        <v>23</v>
      </c>
      <c r="D24" s="3" t="n">
        <v>26</v>
      </c>
    </row>
    <row r="25">
      <c r="A25" t="inlineStr">
        <is>
          <t>Interest Expense</t>
        </is>
      </c>
      <c r="B25" s="3" t="n">
        <v>5</v>
      </c>
      <c r="C25" s="3" t="n">
        <v>4.5</v>
      </c>
      <c r="D25" s="3" t="n">
        <v>4</v>
      </c>
    </row>
    <row r="26">
      <c r="A26" t="inlineStr">
        <is>
          <t>D&amp;A</t>
        </is>
      </c>
      <c r="B26" s="3" t="n">
        <v>8</v>
      </c>
      <c r="C26" s="3" t="n">
        <v>9</v>
      </c>
      <c r="D26" s="3" t="n">
        <v>10</v>
      </c>
    </row>
    <row r="27">
      <c r="A27" t="inlineStr">
        <is>
          <t>CapEx</t>
        </is>
      </c>
      <c r="B27" s="3" t="n">
        <v>12</v>
      </c>
      <c r="C27" s="3" t="n">
        <v>13</v>
      </c>
      <c r="D27" s="3" t="n">
        <v>14</v>
      </c>
    </row>
    <row r="28">
      <c r="A28" t="inlineStr">
        <is>
          <t>Accounts Receivable</t>
        </is>
      </c>
      <c r="B28" s="3" t="n">
        <v>18</v>
      </c>
      <c r="C28" s="3" t="n">
        <v>20</v>
      </c>
      <c r="D28" s="3" t="n">
        <v>22</v>
      </c>
    </row>
    <row r="29">
      <c r="A29" t="inlineStr">
        <is>
          <t>Inventory</t>
        </is>
      </c>
      <c r="B29" s="3" t="n">
        <v>22</v>
      </c>
      <c r="C29" s="3" t="n">
        <v>24</v>
      </c>
      <c r="D29" s="3" t="n">
        <v>26</v>
      </c>
    </row>
    <row r="30">
      <c r="A30" t="inlineStr">
        <is>
          <t>Accounts Payable</t>
        </is>
      </c>
      <c r="B30" s="3" t="n">
        <v>12</v>
      </c>
      <c r="C30" s="3" t="n">
        <v>14</v>
      </c>
      <c r="D30" s="3" t="n">
        <v>16</v>
      </c>
    </row>
    <row r="31">
      <c r="A31" t="inlineStr">
        <is>
          <t>Total Debt</t>
        </is>
      </c>
      <c r="B31" s="3" t="n">
        <v>50</v>
      </c>
      <c r="C31" s="3" t="n">
        <v>45</v>
      </c>
      <c r="D31" s="3" t="n">
        <v>40</v>
      </c>
    </row>
    <row r="32">
      <c r="A32" t="inlineStr">
        <is>
          <t>Net Borrowing</t>
        </is>
      </c>
      <c r="B32" s="3" t="n">
        <v>-5</v>
      </c>
      <c r="C32" s="3" t="n">
        <v>-5</v>
      </c>
      <c r="D32" s="3" t="n">
        <v>-5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Income Statement</t>
        </is>
      </c>
    </row>
    <row r="2"/>
    <row r="3">
      <c r="A3" s="2" t="inlineStr">
        <is>
          <t>Item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</row>
    <row r="4">
      <c r="A4" t="inlineStr">
        <is>
          <t>Revenue</t>
        </is>
      </c>
      <c r="B4" s="3">
        <f>Assumptions!B23</f>
        <v/>
      </c>
      <c r="C4" s="3">
        <f>Assumptions!C23</f>
        <v/>
      </c>
      <c r="D4" s="3">
        <f>Assumptions!D23</f>
        <v/>
      </c>
    </row>
    <row r="5">
      <c r="A5" t="inlineStr">
        <is>
          <t>EBIT</t>
        </is>
      </c>
      <c r="B5" s="3">
        <f>Assumptions!B24</f>
        <v/>
      </c>
      <c r="C5" s="3">
        <f>Assumptions!C24</f>
        <v/>
      </c>
      <c r="D5" s="3">
        <f>Assumptions!D24</f>
        <v/>
      </c>
    </row>
    <row r="6">
      <c r="A6" t="inlineStr">
        <is>
          <t>Interest Expense</t>
        </is>
      </c>
      <c r="B6" s="3">
        <f>Assumptions!B25</f>
        <v/>
      </c>
      <c r="C6" s="3">
        <f>Assumptions!C25</f>
        <v/>
      </c>
      <c r="D6" s="3">
        <f>Assumptions!D25</f>
        <v/>
      </c>
    </row>
    <row r="7">
      <c r="A7" t="inlineStr">
        <is>
          <t>EBT (Earnings Before Tax)</t>
        </is>
      </c>
      <c r="B7" s="5">
        <f>B5-B6</f>
        <v/>
      </c>
      <c r="C7" s="5">
        <f>C5-C6</f>
        <v/>
      </c>
      <c r="D7" s="5">
        <f>D5-D6</f>
        <v/>
      </c>
    </row>
    <row r="8">
      <c r="A8" t="inlineStr">
        <is>
          <t>Tax</t>
        </is>
      </c>
      <c r="B8" s="5">
        <f>MAX(0,B7*Assumptions!$B$4)</f>
        <v/>
      </c>
      <c r="C8" s="5">
        <f>MAX(0,C7*Assumptions!$B$4)</f>
        <v/>
      </c>
      <c r="D8" s="5">
        <f>MAX(0,D7*Assumptions!$B$4)</f>
        <v/>
      </c>
    </row>
    <row r="9">
      <c r="A9" t="inlineStr">
        <is>
          <t>Net Income</t>
        </is>
      </c>
      <c r="B9" s="6">
        <f>B7-B8</f>
        <v/>
      </c>
      <c r="C9" s="6">
        <f>C7-C8</f>
        <v/>
      </c>
      <c r="D9" s="6">
        <f>D7-D8</f>
        <v/>
      </c>
    </row>
    <row r="10">
      <c r="A10" t="inlineStr">
        <is>
          <t>Dividends</t>
        </is>
      </c>
      <c r="B10" s="5">
        <f>IF(B9&gt;0,MAX(0,B9*Assumptions!$B$5),0)</f>
        <v/>
      </c>
      <c r="C10" s="5">
        <f>IF(C9&gt;0,MAX(0,C9*Assumptions!$B$5),0)</f>
        <v/>
      </c>
      <c r="D10" s="5">
        <f>IF(D9&gt;0,MAX(0,D9*Assumptions!$B$5),0)</f>
        <v/>
      </c>
    </row>
    <row r="11">
      <c r="A11" t="inlineStr">
        <is>
          <t>Retained Earnings Addition</t>
        </is>
      </c>
      <c r="B11" s="6">
        <f>B9-B10</f>
        <v/>
      </c>
      <c r="C11" s="6">
        <f>C9-C10</f>
        <v/>
      </c>
      <c r="D11" s="6">
        <f>D9-D10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Cash Flow Statement</t>
        </is>
      </c>
    </row>
    <row r="2"/>
    <row r="3">
      <c r="A3" s="2" t="inlineStr">
        <is>
          <t>Item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</row>
    <row r="4">
      <c r="A4" s="7" t="inlineStr">
        <is>
          <t>OPERATING</t>
        </is>
      </c>
    </row>
    <row r="5">
      <c r="A5" t="inlineStr">
        <is>
          <t>Net Income</t>
        </is>
      </c>
      <c r="B5" s="5">
        <f>'Income Statement'!B9</f>
        <v/>
      </c>
      <c r="C5" s="5">
        <f>'Income Statement'!C9</f>
        <v/>
      </c>
      <c r="D5" s="5">
        <f>'Income Statement'!D9</f>
        <v/>
      </c>
    </row>
    <row r="6">
      <c r="A6" t="inlineStr">
        <is>
          <t>+ D&amp;A</t>
        </is>
      </c>
      <c r="B6" s="3">
        <f>Assumptions!B26</f>
        <v/>
      </c>
      <c r="C6" s="3">
        <f>Assumptions!C26</f>
        <v/>
      </c>
      <c r="D6" s="3">
        <f>Assumptions!D26</f>
        <v/>
      </c>
    </row>
    <row r="7">
      <c r="A7" t="inlineStr">
        <is>
          <t>- Change in Working Capital</t>
        </is>
      </c>
      <c r="B7" s="5">
        <f>(Assumptions!B28+Assumptions!B29-Assumptions!B30)-(Assumptions!$B$10+Assumptions!$B$11-Assumptions!$B$14)</f>
        <v/>
      </c>
      <c r="C7" s="5">
        <f>(Assumptions!C28+Assumptions!C29-Assumptions!C30)-(Assumptions!B28+Assumptions!B29-Assumptions!B30)</f>
        <v/>
      </c>
      <c r="D7" s="5">
        <f>(Assumptions!D28+Assumptions!D29-Assumptions!D30)-(Assumptions!C28+Assumptions!C29-Assumptions!C30)</f>
        <v/>
      </c>
    </row>
    <row r="8">
      <c r="A8" t="inlineStr">
        <is>
          <t>Operating Cash Flow</t>
        </is>
      </c>
      <c r="B8" s="6">
        <f>B5+B6-B7</f>
        <v/>
      </c>
      <c r="C8" s="6">
        <f>C5+C6-C7</f>
        <v/>
      </c>
      <c r="D8" s="6">
        <f>D5+D6-D7</f>
        <v/>
      </c>
    </row>
    <row r="9"/>
    <row r="10">
      <c r="A10" s="7" t="inlineStr">
        <is>
          <t>INVESTING</t>
        </is>
      </c>
    </row>
    <row r="11">
      <c r="A11" t="inlineStr">
        <is>
          <t>Capital Expenditure</t>
        </is>
      </c>
      <c r="B11" s="5">
        <f>-Assumptions!B27</f>
        <v/>
      </c>
      <c r="C11" s="5">
        <f>-Assumptions!C27</f>
        <v/>
      </c>
      <c r="D11" s="5">
        <f>-Assumptions!D27</f>
        <v/>
      </c>
    </row>
    <row r="12">
      <c r="A12" t="inlineStr">
        <is>
          <t>Investing Cash Flow</t>
        </is>
      </c>
      <c r="B12" s="6">
        <f>B11</f>
        <v/>
      </c>
      <c r="C12" s="6">
        <f>C11</f>
        <v/>
      </c>
      <c r="D12" s="6">
        <f>D11</f>
        <v/>
      </c>
    </row>
    <row r="13"/>
    <row r="14">
      <c r="A14" s="7" t="inlineStr">
        <is>
          <t>FINANCING</t>
        </is>
      </c>
    </row>
    <row r="15">
      <c r="A15" t="inlineStr">
        <is>
          <t>Net Borrowing</t>
        </is>
      </c>
      <c r="B15" s="3">
        <f>Assumptions!B32</f>
        <v/>
      </c>
      <c r="C15" s="3">
        <f>Assumptions!C32</f>
        <v/>
      </c>
      <c r="D15" s="3">
        <f>Assumptions!D32</f>
        <v/>
      </c>
    </row>
    <row r="16">
      <c r="A16" t="inlineStr">
        <is>
          <t>Dividends Paid</t>
        </is>
      </c>
      <c r="B16" s="5">
        <f>-'Income Statement'!B10</f>
        <v/>
      </c>
      <c r="C16" s="5">
        <f>-'Income Statement'!C10</f>
        <v/>
      </c>
      <c r="D16" s="5">
        <f>-'Income Statement'!D10</f>
        <v/>
      </c>
    </row>
    <row r="17">
      <c r="A17" t="inlineStr">
        <is>
          <t>Financing Cash Flow</t>
        </is>
      </c>
      <c r="B17" s="6">
        <f>B15+B16</f>
        <v/>
      </c>
      <c r="C17" s="6">
        <f>C15+C16</f>
        <v/>
      </c>
      <c r="D17" s="6">
        <f>D15+D16</f>
        <v/>
      </c>
    </row>
    <row r="18"/>
    <row r="19">
      <c r="A19" t="inlineStr">
        <is>
          <t>Net Change in Cash</t>
        </is>
      </c>
      <c r="B19" s="6">
        <f>B8+B12+B17</f>
        <v/>
      </c>
      <c r="C19" s="6">
        <f>C8+C12+C17</f>
        <v/>
      </c>
      <c r="D19" s="6">
        <f>D8+D12+D17</f>
        <v/>
      </c>
    </row>
    <row r="20">
      <c r="A20" t="inlineStr">
        <is>
          <t>Ending Cash Balance</t>
        </is>
      </c>
      <c r="B20" s="6">
        <f>Assumptions!$B$9+B19</f>
        <v/>
      </c>
      <c r="C20" s="6">
        <f>B20+C19</f>
        <v/>
      </c>
      <c r="D20" s="6">
        <f>C20+D19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7" customWidth="1" min="3" max="3"/>
    <col width="37" customWidth="1" min="4" max="4"/>
    <col width="37" customWidth="1" min="5" max="5"/>
  </cols>
  <sheetData>
    <row r="1">
      <c r="A1" s="1" t="inlineStr">
        <is>
          <t>Balance Sheet</t>
        </is>
      </c>
    </row>
    <row r="2"/>
    <row r="3">
      <c r="A3" s="2" t="inlineStr">
        <is>
          <t>Item</t>
        </is>
      </c>
      <c r="B3" s="2" t="inlineStr">
        <is>
          <t>Opening</t>
        </is>
      </c>
      <c r="C3" s="2" t="inlineStr">
        <is>
          <t>Year 1</t>
        </is>
      </c>
      <c r="D3" s="2" t="inlineStr">
        <is>
          <t>Year 2</t>
        </is>
      </c>
      <c r="E3" s="2" t="inlineStr">
        <is>
          <t>Year 3</t>
        </is>
      </c>
    </row>
    <row r="4">
      <c r="A4" s="7" t="inlineStr">
        <is>
          <t>ASSETS</t>
        </is>
      </c>
    </row>
    <row r="5">
      <c r="A5" t="inlineStr">
        <is>
          <t>Cash</t>
        </is>
      </c>
      <c r="B5" s="5">
        <f>Assumptions!$B$9</f>
        <v/>
      </c>
      <c r="C5" s="5">
        <f>'Cash Flow Statement'!B20</f>
        <v/>
      </c>
      <c r="D5" s="5">
        <f>'Cash Flow Statement'!C20</f>
        <v/>
      </c>
      <c r="E5" s="5">
        <f>'Cash Flow Statement'!D20</f>
        <v/>
      </c>
    </row>
    <row r="6">
      <c r="A6" t="inlineStr">
        <is>
          <t>Accounts Receivable</t>
        </is>
      </c>
      <c r="B6" s="5">
        <f>Assumptions!$B$10</f>
        <v/>
      </c>
      <c r="C6" s="3">
        <f>Assumptions!B28</f>
        <v/>
      </c>
      <c r="D6" s="3">
        <f>Assumptions!C28</f>
        <v/>
      </c>
      <c r="E6" s="3">
        <f>Assumptions!D28</f>
        <v/>
      </c>
    </row>
    <row r="7">
      <c r="A7" t="inlineStr">
        <is>
          <t>Inventory</t>
        </is>
      </c>
      <c r="B7" s="5">
        <f>Assumptions!$B$11</f>
        <v/>
      </c>
      <c r="C7" s="3">
        <f>Assumptions!B29</f>
        <v/>
      </c>
      <c r="D7" s="3">
        <f>Assumptions!C29</f>
        <v/>
      </c>
      <c r="E7" s="3">
        <f>Assumptions!D29</f>
        <v/>
      </c>
    </row>
    <row r="8">
      <c r="A8" t="inlineStr">
        <is>
          <t>PP&amp;E (Net)</t>
        </is>
      </c>
      <c r="B8" s="5">
        <f>Assumptions!$B$12</f>
        <v/>
      </c>
      <c r="C8" s="5">
        <f>B8+Assumptions!B27-Assumptions!B26</f>
        <v/>
      </c>
      <c r="D8" s="5">
        <f>C8+Assumptions!C27-Assumptions!C26</f>
        <v/>
      </c>
      <c r="E8" s="5">
        <f>D8+Assumptions!D27-Assumptions!D26</f>
        <v/>
      </c>
    </row>
    <row r="9">
      <c r="A9" t="inlineStr">
        <is>
          <t>Other Assets</t>
        </is>
      </c>
      <c r="B9" s="5">
        <f>Assumptions!$B$13</f>
        <v/>
      </c>
      <c r="C9" s="3">
        <f>B9</f>
        <v/>
      </c>
      <c r="D9" s="3">
        <f>C9</f>
        <v/>
      </c>
      <c r="E9" s="3">
        <f>D9</f>
        <v/>
      </c>
    </row>
    <row r="10">
      <c r="A10" t="inlineStr">
        <is>
          <t>Total Assets</t>
        </is>
      </c>
      <c r="B10" s="6">
        <f>SUM(B5:B9)</f>
        <v/>
      </c>
      <c r="C10" s="6">
        <f>SUM(C5:C9)</f>
        <v/>
      </c>
      <c r="D10" s="6">
        <f>SUM(D5:D9)</f>
        <v/>
      </c>
      <c r="E10" s="6">
        <f>SUM(E5:E9)</f>
        <v/>
      </c>
    </row>
    <row r="11"/>
    <row r="12">
      <c r="A12" s="7" t="inlineStr">
        <is>
          <t>LIABILITIES &amp; EQUITY</t>
        </is>
      </c>
    </row>
    <row r="13">
      <c r="A13" t="inlineStr">
        <is>
          <t>Accounts Payable</t>
        </is>
      </c>
      <c r="B13" s="5">
        <f>Assumptions!$B$14</f>
        <v/>
      </c>
      <c r="C13" s="3">
        <f>Assumptions!B30</f>
        <v/>
      </c>
      <c r="D13" s="3">
        <f>Assumptions!C30</f>
        <v/>
      </c>
      <c r="E13" s="3">
        <f>Assumptions!D30</f>
        <v/>
      </c>
    </row>
    <row r="14">
      <c r="A14" t="inlineStr">
        <is>
          <t>Total Debt</t>
        </is>
      </c>
      <c r="B14" s="3" t="n">
        <v>0</v>
      </c>
      <c r="C14" s="3">
        <f>Assumptions!B31</f>
        <v/>
      </c>
      <c r="D14" s="3">
        <f>Assumptions!C31</f>
        <v/>
      </c>
      <c r="E14" s="3">
        <f>Assumptions!D31</f>
        <v/>
      </c>
    </row>
    <row r="15">
      <c r="A15" t="inlineStr">
        <is>
          <t>Other Liabilities</t>
        </is>
      </c>
      <c r="B15" s="5">
        <f>Assumptions!$B$15</f>
        <v/>
      </c>
      <c r="C15" s="3">
        <f>B15</f>
        <v/>
      </c>
      <c r="D15" s="3">
        <f>C15</f>
        <v/>
      </c>
      <c r="E15" s="3">
        <f>D15</f>
        <v/>
      </c>
    </row>
    <row r="16">
      <c r="A16" t="inlineStr">
        <is>
          <t>Total Liabilities</t>
        </is>
      </c>
      <c r="B16" s="5">
        <f>B13+B14+B15</f>
        <v/>
      </c>
      <c r="C16" s="5">
        <f>C13+C14+C15</f>
        <v/>
      </c>
      <c r="D16" s="5">
        <f>D13+D14+D15</f>
        <v/>
      </c>
      <c r="E16" s="5">
        <f>E13+E14+E15</f>
        <v/>
      </c>
    </row>
    <row r="17">
      <c r="A17" t="inlineStr">
        <is>
          <t>Equity</t>
        </is>
      </c>
      <c r="B17" s="5">
        <f>Assumptions!$B$16</f>
        <v/>
      </c>
      <c r="C17" s="6">
        <f>B17+'Income Statement'!B11</f>
        <v/>
      </c>
      <c r="D17" s="6">
        <f>C17+'Income Statement'!C11</f>
        <v/>
      </c>
      <c r="E17" s="6">
        <f>D17+'Income Statement'!D11</f>
        <v/>
      </c>
    </row>
    <row r="18">
      <c r="A18" t="inlineStr">
        <is>
          <t>Total L + E</t>
        </is>
      </c>
      <c r="B18" s="6">
        <f>B16+B17</f>
        <v/>
      </c>
      <c r="C18" s="6">
        <f>C16+C17</f>
        <v/>
      </c>
      <c r="D18" s="6">
        <f>D16+D17</f>
        <v/>
      </c>
      <c r="E18" s="6">
        <f>E16+E17</f>
        <v/>
      </c>
    </row>
    <row r="19">
      <c r="A19" t="inlineStr">
        <is>
          <t>Balance Check (A - L&amp;E)</t>
        </is>
      </c>
      <c r="B19" s="6">
        <f>B10-B18</f>
        <v/>
      </c>
      <c r="C19" s="6">
        <f>C10-C18</f>
        <v/>
      </c>
      <c r="D19" s="6">
        <f>D10-D18</f>
        <v/>
      </c>
      <c r="E19" s="6">
        <f>E10-E18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Financial Model — Three-Statement Summary</t>
        </is>
      </c>
    </row>
    <row r="2"/>
    <row r="3">
      <c r="A3" s="2" t="inlineStr">
        <is>
          <t>Item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</row>
    <row r="4">
      <c r="A4" t="inlineStr">
        <is>
          <t>Revenue</t>
        </is>
      </c>
      <c r="B4" s="5">
        <f>'Income Statement'!B4</f>
        <v/>
      </c>
      <c r="C4" s="5">
        <f>'Income Statement'!C4</f>
        <v/>
      </c>
      <c r="D4" s="5">
        <f>'Income Statement'!D4</f>
        <v/>
      </c>
    </row>
    <row r="5">
      <c r="A5" t="inlineStr">
        <is>
          <t>EBIT</t>
        </is>
      </c>
      <c r="B5" s="5">
        <f>'Income Statement'!B5</f>
        <v/>
      </c>
      <c r="C5" s="5">
        <f>'Income Statement'!C5</f>
        <v/>
      </c>
      <c r="D5" s="5">
        <f>'Income Statement'!D5</f>
        <v/>
      </c>
    </row>
    <row r="6">
      <c r="A6" t="inlineStr">
        <is>
          <t>Net Income</t>
        </is>
      </c>
      <c r="B6" s="6">
        <f>'Income Statement'!B9</f>
        <v/>
      </c>
      <c r="C6" s="6">
        <f>'Income Statement'!C9</f>
        <v/>
      </c>
      <c r="D6" s="6">
        <f>'Income Statement'!D9</f>
        <v/>
      </c>
    </row>
    <row r="7"/>
    <row r="8">
      <c r="A8" t="inlineStr">
        <is>
          <t>Operating CF</t>
        </is>
      </c>
      <c r="B8" s="5">
        <f>'Cash Flow Statement'!B8</f>
        <v/>
      </c>
      <c r="C8" s="5">
        <f>'Cash Flow Statement'!C8</f>
        <v/>
      </c>
      <c r="D8" s="5">
        <f>'Cash Flow Statement'!D8</f>
        <v/>
      </c>
    </row>
    <row r="9">
      <c r="A9" t="inlineStr">
        <is>
          <t>Investing CF</t>
        </is>
      </c>
      <c r="B9" s="5">
        <f>'Cash Flow Statement'!B12</f>
        <v/>
      </c>
      <c r="C9" s="5">
        <f>'Cash Flow Statement'!C12</f>
        <v/>
      </c>
      <c r="D9" s="5">
        <f>'Cash Flow Statement'!D12</f>
        <v/>
      </c>
    </row>
    <row r="10">
      <c r="A10" t="inlineStr">
        <is>
          <t>Financing CF</t>
        </is>
      </c>
      <c r="B10" s="5">
        <f>'Cash Flow Statement'!B17</f>
        <v/>
      </c>
      <c r="C10" s="5">
        <f>'Cash Flow Statement'!C17</f>
        <v/>
      </c>
      <c r="D10" s="5">
        <f>'Cash Flow Statement'!D17</f>
        <v/>
      </c>
    </row>
    <row r="11">
      <c r="A11" t="inlineStr">
        <is>
          <t>Net Change in Cash</t>
        </is>
      </c>
      <c r="B11" s="6">
        <f>'Cash Flow Statement'!B19</f>
        <v/>
      </c>
      <c r="C11" s="6">
        <f>'Cash Flow Statement'!C19</f>
        <v/>
      </c>
      <c r="D11" s="6">
        <f>'Cash Flow Statement'!D19</f>
        <v/>
      </c>
    </row>
    <row r="12"/>
    <row r="13">
      <c r="A13" t="inlineStr">
        <is>
          <t>Total Assets</t>
        </is>
      </c>
      <c r="B13" s="5">
        <f>'Balance Sheet'!C10</f>
        <v/>
      </c>
      <c r="C13" s="5">
        <f>'Balance Sheet'!D10</f>
        <v/>
      </c>
      <c r="D13" s="5">
        <f>'Balance Sheet'!E10</f>
        <v/>
      </c>
    </row>
    <row r="14">
      <c r="A14" t="inlineStr">
        <is>
          <t>Total Liabilities</t>
        </is>
      </c>
      <c r="B14" s="5">
        <f>'Balance Sheet'!C16</f>
        <v/>
      </c>
      <c r="C14" s="5">
        <f>'Balance Sheet'!D16</f>
        <v/>
      </c>
      <c r="D14" s="5">
        <f>'Balance Sheet'!E16</f>
        <v/>
      </c>
    </row>
    <row r="15">
      <c r="A15" t="inlineStr">
        <is>
          <t>Equity</t>
        </is>
      </c>
      <c r="B15" s="6">
        <f>'Balance Sheet'!C17</f>
        <v/>
      </c>
      <c r="C15" s="6">
        <f>'Balance Sheet'!D17</f>
        <v/>
      </c>
      <c r="D15" s="6">
        <f>'Balance Sheet'!E17</f>
        <v/>
      </c>
    </row>
    <row r="16">
      <c r="A16" t="inlineStr">
        <is>
          <t>Balance Check</t>
        </is>
      </c>
      <c r="B16" s="6">
        <f>'Balance Sheet'!C19</f>
        <v/>
      </c>
      <c r="C16" s="6">
        <f>'Balance Sheet'!D19</f>
        <v/>
      </c>
      <c r="D16" s="6">
        <f>'Balance Sheet'!E19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2026-02-24T15:35:56Z</dcterms:created>
  <dcterms:modified xmlns:dcterms="http://purl.org/dc/terms/" xmlns:xsi="http://www.w3.org/2001/XMLSchema-instance" xsi:type="dcterms:W3CDTF">2026-02-24T15:35:56Z</dcterms:modified>
</cp:coreProperties>
</file>