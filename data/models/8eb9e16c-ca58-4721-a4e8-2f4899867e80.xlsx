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sh 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Bond Pricing Model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Face Value (IRR)</t>
        </is>
      </c>
      <c r="B4" s="3" t="n">
        <v>1000000</v>
      </c>
    </row>
    <row r="5">
      <c r="A5" t="inlineStr">
        <is>
          <t>Coupon Rate</t>
        </is>
      </c>
      <c r="B5" s="3" t="n">
        <v>0.2</v>
      </c>
    </row>
    <row r="6">
      <c r="A6" t="inlineStr">
        <is>
          <t>YTM</t>
        </is>
      </c>
      <c r="B6" s="3" t="n">
        <v>0.22</v>
      </c>
    </row>
    <row r="7">
      <c r="A7" t="inlineStr">
        <is>
          <t>Periods</t>
        </is>
      </c>
      <c r="B7" s="3" t="n">
        <v>5</v>
      </c>
    </row>
    <row r="8">
      <c r="A8" t="inlineStr">
        <is>
          <t>Frequency</t>
        </is>
      </c>
      <c r="B8" s="3" t="n">
        <v>1</v>
      </c>
    </row>
    <row r="9"/>
    <row r="10">
      <c r="A10" t="inlineStr">
        <is>
          <t>Bond Price (PV formula)</t>
        </is>
      </c>
      <c r="B10" s="4">
        <f>-PV(B6/B8,B7,-B4*B5/B8,-B4)</f>
        <v/>
      </c>
    </row>
    <row r="11"/>
    <row r="12">
      <c r="A12" t="inlineStr">
        <is>
          <t>Computed Price</t>
        </is>
      </c>
      <c r="B12" s="5">
        <f>-'Cash Flows'!D2</f>
        <v/>
      </c>
    </row>
    <row r="13">
      <c r="A13" t="inlineStr">
        <is>
          <t>Periodic YTM (IRR)</t>
        </is>
      </c>
      <c r="B13" s="5">
        <f>'Cash Flows'!B9</f>
        <v/>
      </c>
    </row>
    <row r="14">
      <c r="A14" t="inlineStr">
        <is>
          <t>Annual YTM</t>
        </is>
      </c>
      <c r="B14" s="5">
        <f>'Cash Flows'!B10</f>
        <v/>
      </c>
    </row>
    <row r="15">
      <c r="A15" t="inlineStr">
        <is>
          <t>Macaulay Duration (yrs)</t>
        </is>
      </c>
      <c r="B15" s="5">
        <f>'Cash Flows'!B11</f>
        <v/>
      </c>
    </row>
    <row r="16">
      <c r="A16" t="inlineStr">
        <is>
          <t>Modified Duration</t>
        </is>
      </c>
      <c r="B16" s="5">
        <f>'Cash Flows'!B12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40" customWidth="1" min="4" max="4"/>
    <col width="36" customWidth="1" min="5" max="5"/>
  </cols>
  <sheetData>
    <row r="1">
      <c r="A1" s="2" t="inlineStr">
        <is>
          <t>Period</t>
        </is>
      </c>
      <c r="B1" s="2" t="inlineStr">
        <is>
          <t>Coupon</t>
        </is>
      </c>
      <c r="C1" s="2" t="inlineStr">
        <is>
          <t>Principal</t>
        </is>
      </c>
      <c r="D1" s="2" t="inlineStr">
        <is>
          <t>Total CF</t>
        </is>
      </c>
      <c r="E1" s="2" t="inlineStr">
        <is>
          <t>PV</t>
        </is>
      </c>
    </row>
    <row r="2">
      <c r="A2" t="n">
        <v>0</v>
      </c>
      <c r="D2" s="5">
        <f>PV(Inputs!$B$6/Inputs!$B$8,Inputs!$B$7,-Inputs!$B$4*Inputs!$B$5/Inputs!$B$8,-Inputs!$B$4)</f>
        <v/>
      </c>
    </row>
    <row r="3">
      <c r="A3" t="n">
        <v>1</v>
      </c>
      <c r="B3" s="5">
        <f>Inputs!$B$4*Inputs!$B$5/Inputs!$B$8</f>
        <v/>
      </c>
      <c r="C3" s="5">
        <f>IF(A3=Inputs!$B$7,Inputs!$B$4,0)</f>
        <v/>
      </c>
      <c r="D3" s="5">
        <f>B3+C3</f>
        <v/>
      </c>
      <c r="E3" s="5">
        <f>D3/(1+Inputs!$B$6/Inputs!$B$8)^A3</f>
        <v/>
      </c>
    </row>
    <row r="4">
      <c r="A4" t="n">
        <v>2</v>
      </c>
      <c r="B4" s="5">
        <f>Inputs!$B$4*Inputs!$B$5/Inputs!$B$8</f>
        <v/>
      </c>
      <c r="C4" s="5">
        <f>IF(A4=Inputs!$B$7,Inputs!$B$4,0)</f>
        <v/>
      </c>
      <c r="D4" s="5">
        <f>B4+C4</f>
        <v/>
      </c>
      <c r="E4" s="5">
        <f>D4/(1+Inputs!$B$6/Inputs!$B$8)^A4</f>
        <v/>
      </c>
    </row>
    <row r="5">
      <c r="A5" t="n">
        <v>3</v>
      </c>
      <c r="B5" s="5">
        <f>Inputs!$B$4*Inputs!$B$5/Inputs!$B$8</f>
        <v/>
      </c>
      <c r="C5" s="5">
        <f>IF(A5=Inputs!$B$7,Inputs!$B$4,0)</f>
        <v/>
      </c>
      <c r="D5" s="5">
        <f>B5+C5</f>
        <v/>
      </c>
      <c r="E5" s="5">
        <f>D5/(1+Inputs!$B$6/Inputs!$B$8)^A5</f>
        <v/>
      </c>
    </row>
    <row r="6">
      <c r="A6" t="n">
        <v>4</v>
      </c>
      <c r="B6" s="5">
        <f>Inputs!$B$4*Inputs!$B$5/Inputs!$B$8</f>
        <v/>
      </c>
      <c r="C6" s="5">
        <f>IF(A6=Inputs!$B$7,Inputs!$B$4,0)</f>
        <v/>
      </c>
      <c r="D6" s="5">
        <f>B6+C6</f>
        <v/>
      </c>
      <c r="E6" s="5">
        <f>D6/(1+Inputs!$B$6/Inputs!$B$8)^A6</f>
        <v/>
      </c>
    </row>
    <row r="7">
      <c r="A7" t="n">
        <v>5</v>
      </c>
      <c r="B7" s="5">
        <f>Inputs!$B$4*Inputs!$B$5/Inputs!$B$8</f>
        <v/>
      </c>
      <c r="C7" s="5">
        <f>IF(A7=Inputs!$B$7,Inputs!$B$4,0)</f>
        <v/>
      </c>
      <c r="D7" s="5">
        <f>B7+C7</f>
        <v/>
      </c>
      <c r="E7" s="5">
        <f>D7/(1+Inputs!$B$6/Inputs!$B$8)^A7</f>
        <v/>
      </c>
    </row>
    <row r="8"/>
    <row r="9">
      <c r="A9" t="inlineStr">
        <is>
          <t>Periodic YTM (IRR)</t>
        </is>
      </c>
      <c r="B9" s="4">
        <f>IRR(D2:D7)</f>
        <v/>
      </c>
    </row>
    <row r="10">
      <c r="A10" t="inlineStr">
        <is>
          <t>Annual YTM</t>
        </is>
      </c>
      <c r="B10" s="4">
        <f>B9*Inputs!$B$8</f>
        <v/>
      </c>
    </row>
    <row r="11">
      <c r="A11" t="inlineStr">
        <is>
          <t>Macaulay Duration (years)</t>
        </is>
      </c>
      <c r="B11" s="4">
        <f>SUMPRODUCT(A3:A7,E3:E7)/SUM(E3:E7)/Inputs!$B$8</f>
        <v/>
      </c>
    </row>
    <row r="12">
      <c r="A12" t="inlineStr">
        <is>
          <t>Modified Duration</t>
        </is>
      </c>
      <c r="B12" s="4">
        <f>B11/(1+Inputs!$B$6/Inputs!$B$8)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2026-02-24T15:36:47Z</dcterms:created>
  <dcterms:modified xmlns:dcterms="http://purl.org/dc/terms/" xmlns:xsi="http://www.w3.org/2001/XMLSchema-instance" xsi:type="dcterms:W3CDTF">2026-02-24T15:36:47Z</dcterms:modified>
</cp:coreProperties>
</file>