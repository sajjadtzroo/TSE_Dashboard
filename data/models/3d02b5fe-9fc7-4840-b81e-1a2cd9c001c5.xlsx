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_Assumptions" sheetId="1" state="visible" r:id="rId1"/>
    <sheet xmlns:r="http://schemas.openxmlformats.org/officeDocument/2006/relationships" name="P&amp;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C2030"/>
      </patternFill>
    </fill>
    <fill>
      <patternFill patternType="solid">
        <fgColor rgb="00FFFDE7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P&amp;L Model — NovaTech Industries Inc.</t>
        </is>
      </c>
    </row>
    <row r="2"/>
    <row r="3">
      <c r="A3" s="2" t="inlineStr">
        <is>
          <t>Parameter</t>
        </is>
      </c>
      <c r="B3" s="2" t="inlineStr">
        <is>
          <t>Value</t>
        </is>
      </c>
    </row>
    <row r="4">
      <c r="A4" t="inlineStr">
        <is>
          <t>Gross Margin</t>
        </is>
      </c>
      <c r="B4" s="3" t="n">
        <v>0.5</v>
      </c>
    </row>
    <row r="5">
      <c r="A5" t="inlineStr">
        <is>
          <t>EBITDA Margin</t>
        </is>
      </c>
      <c r="B5" s="3" t="n">
        <v>0.25</v>
      </c>
    </row>
    <row r="6">
      <c r="A6" t="inlineStr">
        <is>
          <t>D&amp;A % of Revenue</t>
        </is>
      </c>
      <c r="B6" s="3" t="n">
        <v>0.05</v>
      </c>
    </row>
    <row r="7">
      <c r="A7" t="inlineStr">
        <is>
          <t>Tax Rate</t>
        </is>
      </c>
      <c r="B7" s="3" t="n">
        <v>0.24</v>
      </c>
    </row>
    <row r="8">
      <c r="A8" t="inlineStr">
        <is>
          <t>Interest Expense (B IRR)</t>
        </is>
      </c>
      <c r="B8" s="3" t="n">
        <v>18.8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</cols>
  <sheetData>
    <row r="1">
      <c r="A1" s="2" t="inlineStr">
        <is>
          <t>Item</t>
        </is>
      </c>
      <c r="B1" s="2" t="inlineStr">
        <is>
          <t>Year 1</t>
        </is>
      </c>
      <c r="C1" s="2" t="inlineStr">
        <is>
          <t>Year 2</t>
        </is>
      </c>
      <c r="D1" s="2" t="inlineStr">
        <is>
          <t>Year 3</t>
        </is>
      </c>
      <c r="E1" s="2" t="inlineStr">
        <is>
          <t>Year 4</t>
        </is>
      </c>
      <c r="F1" s="2" t="inlineStr">
        <is>
          <t>Year 5</t>
        </is>
      </c>
    </row>
    <row r="2">
      <c r="A2" t="inlineStr">
        <is>
          <t>Revenue (B IRR)</t>
        </is>
      </c>
      <c r="B2" s="3" t="n">
        <v>817.5</v>
      </c>
      <c r="C2" s="3" t="n">
        <v>891.08</v>
      </c>
      <c r="D2" s="3" t="n">
        <v>971.27</v>
      </c>
      <c r="E2" s="3" t="n">
        <v>1058.69</v>
      </c>
      <c r="F2" s="3" t="n">
        <v>1153.97</v>
      </c>
    </row>
    <row r="3">
      <c r="A3" t="inlineStr">
        <is>
          <t>Gross Profit</t>
        </is>
      </c>
      <c r="B3" s="4">
        <f>B2*PL_Assumptions!$B$4</f>
        <v/>
      </c>
      <c r="C3" s="4">
        <f>C2*PL_Assumptions!$B$4</f>
        <v/>
      </c>
      <c r="D3" s="4">
        <f>D2*PL_Assumptions!$B$4</f>
        <v/>
      </c>
      <c r="E3" s="4">
        <f>E2*PL_Assumptions!$B$4</f>
        <v/>
      </c>
      <c r="F3" s="4">
        <f>F2*PL_Assumptions!$B$4</f>
        <v/>
      </c>
    </row>
    <row r="4">
      <c r="A4" t="inlineStr">
        <is>
          <t>EBITDA</t>
        </is>
      </c>
      <c r="B4" s="4">
        <f>B2*PL_Assumptions!$B$5</f>
        <v/>
      </c>
      <c r="C4" s="4">
        <f>C2*PL_Assumptions!$B$5</f>
        <v/>
      </c>
      <c r="D4" s="4">
        <f>D2*PL_Assumptions!$B$5</f>
        <v/>
      </c>
      <c r="E4" s="4">
        <f>E2*PL_Assumptions!$B$5</f>
        <v/>
      </c>
      <c r="F4" s="4">
        <f>F2*PL_Assumptions!$B$5</f>
        <v/>
      </c>
    </row>
    <row r="5">
      <c r="A5" t="inlineStr">
        <is>
          <t>D&amp;A</t>
        </is>
      </c>
      <c r="B5" s="4">
        <f>B2*PL_Assumptions!$B$6</f>
        <v/>
      </c>
      <c r="C5" s="4">
        <f>C2*PL_Assumptions!$B$6</f>
        <v/>
      </c>
      <c r="D5" s="4">
        <f>D2*PL_Assumptions!$B$6</f>
        <v/>
      </c>
      <c r="E5" s="4">
        <f>E2*PL_Assumptions!$B$6</f>
        <v/>
      </c>
      <c r="F5" s="4">
        <f>F2*PL_Assumptions!$B$6</f>
        <v/>
      </c>
    </row>
    <row r="6">
      <c r="A6" t="inlineStr">
        <is>
          <t>EBIT</t>
        </is>
      </c>
      <c r="B6" s="4">
        <f>B4-B5</f>
        <v/>
      </c>
      <c r="C6" s="4">
        <f>C4-C5</f>
        <v/>
      </c>
      <c r="D6" s="4">
        <f>D4-D5</f>
        <v/>
      </c>
      <c r="E6" s="4">
        <f>E4-E5</f>
        <v/>
      </c>
      <c r="F6" s="4">
        <f>F4-F5</f>
        <v/>
      </c>
    </row>
    <row r="7">
      <c r="A7" t="inlineStr">
        <is>
          <t>Interest Expense (B IRR)</t>
        </is>
      </c>
      <c r="B7" s="3">
        <f>PL_Assumptions!$B$8</f>
        <v/>
      </c>
      <c r="C7" s="3">
        <f>PL_Assumptions!$B$8</f>
        <v/>
      </c>
      <c r="D7" s="3">
        <f>PL_Assumptions!$B$8</f>
        <v/>
      </c>
      <c r="E7" s="3">
        <f>PL_Assumptions!$B$8</f>
        <v/>
      </c>
      <c r="F7" s="3">
        <f>PL_Assumptions!$B$8</f>
        <v/>
      </c>
    </row>
    <row r="8">
      <c r="A8" t="inlineStr">
        <is>
          <t>EBT</t>
        </is>
      </c>
      <c r="B8" s="4">
        <f>B6-B7</f>
        <v/>
      </c>
      <c r="C8" s="4">
        <f>C6-C7</f>
        <v/>
      </c>
      <c r="D8" s="4">
        <f>D6-D7</f>
        <v/>
      </c>
      <c r="E8" s="4">
        <f>E6-E7</f>
        <v/>
      </c>
      <c r="F8" s="4">
        <f>F6-F7</f>
        <v/>
      </c>
    </row>
    <row r="9">
      <c r="A9" t="inlineStr">
        <is>
          <t>Tax</t>
        </is>
      </c>
      <c r="B9" s="4">
        <f>IF(B8&gt;0,B8*PL_Assumptions!$B$7,0)</f>
        <v/>
      </c>
      <c r="C9" s="4">
        <f>IF(C8&gt;0,C8*PL_Assumptions!$B$7,0)</f>
        <v/>
      </c>
      <c r="D9" s="4">
        <f>IF(D8&gt;0,D8*PL_Assumptions!$B$7,0)</f>
        <v/>
      </c>
      <c r="E9" s="4">
        <f>IF(E8&gt;0,E8*PL_Assumptions!$B$7,0)</f>
        <v/>
      </c>
      <c r="F9" s="4">
        <f>IF(F8&gt;0,F8*PL_Assumptions!$B$7,0)</f>
        <v/>
      </c>
    </row>
    <row r="10">
      <c r="A10" t="inlineStr">
        <is>
          <t>Net Income</t>
        </is>
      </c>
      <c r="B10" s="5">
        <f>B8-B9</f>
        <v/>
      </c>
      <c r="C10" s="5">
        <f>C8-C9</f>
        <v/>
      </c>
      <c r="D10" s="5">
        <f>D8-D9</f>
        <v/>
      </c>
      <c r="E10" s="5">
        <f>E8-E9</f>
        <v/>
      </c>
      <c r="F10" s="5">
        <f>F8-F9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2026-02-24T12:46:45Z</dcterms:created>
  <dcterms:modified xmlns:dcterms="http://purl.org/dc/terms/" xmlns:xsi="http://www.w3.org/2001/XMLSchema-instance" xsi:type="dcterms:W3CDTF">2026-02-24T12:46:45Z</dcterms:modified>
</cp:coreProperties>
</file>